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3"/>
  <workbookPr showInkAnnotation="0" autoCompressPictures="0"/>
  <mc:AlternateContent xmlns:mc="http://schemas.openxmlformats.org/markup-compatibility/2006">
    <mc:Choice Requires="x15">
      <x15ac:absPath xmlns:x15ac="http://schemas.microsoft.com/office/spreadsheetml/2010/11/ac" url="https://d.docs.live.net/cf9dad1964fdd36e/"/>
    </mc:Choice>
  </mc:AlternateContent>
  <xr:revisionPtr revIDLastSave="82" documentId="13_ncr:1_{BD857359-5C8F-CC49-9747-55674BE429AB}" xr6:coauthVersionLast="47" xr6:coauthVersionMax="47" xr10:uidLastSave="{EB261DCF-6FA9-F142-986D-C8B900AE944D}"/>
  <bookViews>
    <workbookView xWindow="-10100" yWindow="-21100" windowWidth="28800" windowHeight="19360" xr2:uid="{00000000-000D-0000-FFFF-FFFF00000000}"/>
  </bookViews>
  <sheets>
    <sheet name="スキルシート" sheetId="9" r:id="rId1"/>
  </sheets>
  <definedNames>
    <definedName name="_xlnm._FilterDatabase" localSheetId="0" hidden="1">スキルシート!$BA$10:$BG$10</definedName>
  </definedNames>
  <calcPr calcId="191028"/>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67" i="9" l="1"/>
  <c r="CA22" i="9"/>
  <c r="CA20" i="9"/>
  <c r="CA28" i="9"/>
  <c r="CA26" i="9"/>
  <c r="CA88" i="9"/>
  <c r="CA86" i="9"/>
  <c r="CA94" i="9"/>
  <c r="CA92" i="9"/>
  <c r="CA76" i="9"/>
  <c r="CA74" i="9"/>
  <c r="CA82" i="9"/>
  <c r="CA80" i="9"/>
  <c r="C85" i="9" s="1"/>
  <c r="CA58" i="9"/>
  <c r="CA56" i="9"/>
  <c r="CA64" i="9"/>
  <c r="CA62" i="9"/>
  <c r="CA70" i="9"/>
  <c r="CA68" i="9"/>
  <c r="CA100" i="9"/>
  <c r="CA98" i="9"/>
  <c r="CA40" i="9"/>
  <c r="CA38" i="9"/>
  <c r="CA46" i="9"/>
  <c r="CA44" i="9"/>
  <c r="C49" i="9" s="1"/>
  <c r="H49" i="9" s="1"/>
  <c r="CA52" i="9"/>
  <c r="CA50" i="9"/>
  <c r="CA34" i="9"/>
  <c r="CA32" i="9"/>
  <c r="C103" i="9" l="1"/>
  <c r="H103" i="9" s="1"/>
  <c r="C97" i="9"/>
  <c r="H97" i="9" s="1"/>
  <c r="C55" i="9"/>
  <c r="H55" i="9" s="1"/>
  <c r="C79" i="9"/>
  <c r="H79" i="9" s="1"/>
  <c r="C73" i="9"/>
  <c r="H73" i="9" s="1"/>
  <c r="C91" i="9"/>
  <c r="H91" i="9" s="1"/>
  <c r="C37" i="9"/>
  <c r="H37" i="9" s="1"/>
  <c r="C43" i="9"/>
  <c r="H43" i="9" s="1"/>
  <c r="H67" i="9"/>
  <c r="C61" i="9"/>
  <c r="H61" i="9" s="1"/>
</calcChain>
</file>

<file path=xl/sharedStrings.xml><?xml version="1.0" encoding="utf-8"?>
<sst xmlns="http://schemas.openxmlformats.org/spreadsheetml/2006/main" count="922" uniqueCount="533">
  <si>
    <t>技術経歴書</t>
    <rPh sb="0" eb="2">
      <t>ギジュツ</t>
    </rPh>
    <rPh sb="2" eb="5">
      <t>ケイレキショ</t>
    </rPh>
    <phoneticPr fontId="1"/>
  </si>
  <si>
    <t>イニシャル</t>
    <phoneticPr fontId="1"/>
  </si>
  <si>
    <t>年齢</t>
  </si>
  <si>
    <t>性別</t>
    <rPh sb="0" eb="2">
      <t>セイベツ</t>
    </rPh>
    <phoneticPr fontId="1"/>
  </si>
  <si>
    <t>国籍</t>
    <rPh sb="0" eb="2">
      <t>コクセキ</t>
    </rPh>
    <phoneticPr fontId="1"/>
  </si>
  <si>
    <t>最寄駅</t>
    <rPh sb="0" eb="3">
      <t>モヨリエキ</t>
    </rPh>
    <phoneticPr fontId="1"/>
  </si>
  <si>
    <t>最終学歴</t>
    <rPh sb="0" eb="2">
      <t>サイシュウ</t>
    </rPh>
    <rPh sb="2" eb="4">
      <t>ガクレキ</t>
    </rPh>
    <phoneticPr fontId="1"/>
  </si>
  <si>
    <t>Y・D</t>
    <phoneticPr fontId="1"/>
  </si>
  <si>
    <t>(満)</t>
    <rPh sb="1" eb="2">
      <t>Maン</t>
    </rPh>
    <phoneticPr fontId="1"/>
  </si>
  <si>
    <t>39</t>
  </si>
  <si>
    <t>歳</t>
    <rPh sb="0" eb="1">
      <t>サイ</t>
    </rPh>
    <phoneticPr fontId="1"/>
  </si>
  <si>
    <t>男性</t>
    <rPh sb="0" eb="2">
      <t>ダンセイ</t>
    </rPh>
    <phoneticPr fontId="1"/>
  </si>
  <si>
    <t>日本</t>
    <rPh sb="0" eb="2">
      <t xml:space="preserve">ニホン </t>
    </rPh>
    <phoneticPr fontId="1"/>
  </si>
  <si>
    <t>線</t>
    <rPh sb="0" eb="1">
      <t>セン</t>
    </rPh>
    <phoneticPr fontId="1"/>
  </si>
  <si>
    <t>博多</t>
    <rPh sb="0" eb="2">
      <t xml:space="preserve">ハカタ </t>
    </rPh>
    <phoneticPr fontId="1"/>
  </si>
  <si>
    <t>駅</t>
    <rPh sb="0" eb="1">
      <t>エキ</t>
    </rPh>
    <phoneticPr fontId="1"/>
  </si>
  <si>
    <t>明治大学文学部卒</t>
    <rPh sb="0" eb="8">
      <t xml:space="preserve">ダイガクソツ </t>
    </rPh>
    <phoneticPr fontId="1"/>
  </si>
  <si>
    <t>勤務開始可能日</t>
    <rPh sb="2" eb="4">
      <t>カイシ</t>
    </rPh>
    <rPh sb="4" eb="6">
      <t>カノウ</t>
    </rPh>
    <rPh sb="6" eb="7">
      <t>カノウビ</t>
    </rPh>
    <phoneticPr fontId="1"/>
  </si>
  <si>
    <t>2022</t>
  </si>
  <si>
    <t>年</t>
    <rPh sb="0" eb="1">
      <t>ネン</t>
    </rPh>
    <phoneticPr fontId="1"/>
  </si>
  <si>
    <t>01</t>
  </si>
  <si>
    <t>月</t>
    <rPh sb="0" eb="1">
      <t>ガツ</t>
    </rPh>
    <phoneticPr fontId="1"/>
  </si>
  <si>
    <t>日</t>
    <rPh sb="0" eb="1">
      <t>ニチ</t>
    </rPh>
    <phoneticPr fontId="1"/>
  </si>
  <si>
    <t>勤務可能地域</t>
    <rPh sb="0" eb="2">
      <t>キンム</t>
    </rPh>
    <rPh sb="2" eb="4">
      <t>カノウ</t>
    </rPh>
    <rPh sb="4" eb="6">
      <t>チイキ</t>
    </rPh>
    <phoneticPr fontId="1"/>
  </si>
  <si>
    <t>リモート</t>
    <phoneticPr fontId="1"/>
  </si>
  <si>
    <t>休日出勤可否</t>
  </si>
  <si>
    <t>相談可</t>
  </si>
  <si>
    <t>残業可否</t>
    <rPh sb="0" eb="2">
      <t>ザンギョウ</t>
    </rPh>
    <rPh sb="2" eb="4">
      <t>カヒ</t>
    </rPh>
    <phoneticPr fontId="1"/>
  </si>
  <si>
    <t>出張可否</t>
    <rPh sb="0" eb="2">
      <t>シュッチョウ</t>
    </rPh>
    <rPh sb="2" eb="4">
      <t>カヒ</t>
    </rPh>
    <phoneticPr fontId="1"/>
  </si>
  <si>
    <t>資格</t>
    <rPh sb="0" eb="2">
      <t>シカk</t>
    </rPh>
    <phoneticPr fontId="1"/>
  </si>
  <si>
    <t>LPIC level1</t>
    <phoneticPr fontId="1"/>
  </si>
  <si>
    <t>2006</t>
  </si>
  <si>
    <t>01</t>
    <phoneticPr fontId="1"/>
  </si>
  <si>
    <t>PHP7技術者認定　初級</t>
    <rPh sb="4" eb="9">
      <t xml:space="preserve">ギジュツシャニンテイ </t>
    </rPh>
    <rPh sb="10" eb="12">
      <t xml:space="preserve">ショキュウ </t>
    </rPh>
    <phoneticPr fontId="1"/>
  </si>
  <si>
    <t>2019</t>
  </si>
  <si>
    <t>07</t>
  </si>
  <si>
    <t>OCJ-P Silver</t>
    <phoneticPr fontId="1"/>
  </si>
  <si>
    <t>2017</t>
  </si>
  <si>
    <t>11</t>
  </si>
  <si>
    <t>No</t>
  </si>
  <si>
    <t>期間</t>
    <phoneticPr fontId="1"/>
  </si>
  <si>
    <t>業務内容</t>
  </si>
  <si>
    <t>使用言語
ライブラリ</t>
    <rPh sb="0" eb="2">
      <t>シヨウ</t>
    </rPh>
    <rPh sb="2" eb="4">
      <t>ゲンゴ</t>
    </rPh>
    <phoneticPr fontId="1"/>
  </si>
  <si>
    <t>サーバー
OS・DB</t>
    <phoneticPr fontId="1"/>
  </si>
  <si>
    <t>FW・MW
ツールなど</t>
    <phoneticPr fontId="1"/>
  </si>
  <si>
    <t>役割
規模</t>
    <rPh sb="3" eb="5">
      <t>キボ</t>
    </rPh>
    <phoneticPr fontId="1"/>
  </si>
  <si>
    <t>担当工程</t>
    <rPh sb="0" eb="2">
      <t>タントウ</t>
    </rPh>
    <phoneticPr fontId="1"/>
  </si>
  <si>
    <t>要件定義</t>
    <phoneticPr fontId="1"/>
  </si>
  <si>
    <t>基本設計</t>
  </si>
  <si>
    <t>詳細設計</t>
  </si>
  <si>
    <t>製造・構築</t>
    <rPh sb="0" eb="2">
      <t>セイゾウ</t>
    </rPh>
    <rPh sb="3" eb="5">
      <t>コウチク</t>
    </rPh>
    <phoneticPr fontId="1"/>
  </si>
  <si>
    <t>テスト</t>
    <phoneticPr fontId="1"/>
  </si>
  <si>
    <t>保守・運用</t>
    <rPh sb="0" eb="2">
      <t>ホシュ</t>
    </rPh>
    <rPh sb="3" eb="5">
      <t>ウンヨウ</t>
    </rPh>
    <phoneticPr fontId="1"/>
  </si>
  <si>
    <t>2021</t>
    <phoneticPr fontId="1"/>
  </si>
  <si>
    <t>09</t>
    <phoneticPr fontId="1"/>
  </si>
  <si>
    <t>月</t>
    <rPh sb="0" eb="1">
      <t>ツキ</t>
    </rPh>
    <phoneticPr fontId="1"/>
  </si>
  <si>
    <t>Python3.9</t>
    <phoneticPr fontId="1"/>
  </si>
  <si>
    <t>Oracle11g</t>
    <phoneticPr fontId="1"/>
  </si>
  <si>
    <t>Zabbix5.0LTS</t>
    <phoneticPr fontId="1"/>
  </si>
  <si>
    <t>役割</t>
    <phoneticPr fontId="1"/>
  </si>
  <si>
    <t>　</t>
    <phoneticPr fontId="4"/>
  </si>
  <si>
    <t>　</t>
  </si>
  <si>
    <t>●</t>
  </si>
  <si>
    <t>～</t>
    <phoneticPr fontId="1"/>
  </si>
  <si>
    <t>運用・保守（作業現場からの遠隔操作またはデータセンター内作業</t>
    <phoneticPr fontId="1"/>
  </si>
  <si>
    <t>Bash</t>
    <phoneticPr fontId="1"/>
  </si>
  <si>
    <t>CentOS 7.5</t>
    <phoneticPr fontId="1"/>
  </si>
  <si>
    <t>Firefox</t>
    <phoneticPr fontId="1"/>
  </si>
  <si>
    <t>インフラエンジニア</t>
  </si>
  <si>
    <t>バッチの再構築（Python3.9）といった移管サポート業務
（オンプレミス）</t>
    <phoneticPr fontId="1"/>
  </si>
  <si>
    <t>RHEL 7.5</t>
    <phoneticPr fontId="1"/>
  </si>
  <si>
    <t>chrome</t>
    <phoneticPr fontId="1"/>
  </si>
  <si>
    <t>WinSCP</t>
    <phoneticPr fontId="1"/>
  </si>
  <si>
    <t>Flask1.1.4</t>
    <phoneticPr fontId="1"/>
  </si>
  <si>
    <t>規模</t>
    <rPh sb="0" eb="2">
      <t>キボ</t>
    </rPh>
    <phoneticPr fontId="4"/>
  </si>
  <si>
    <t>ヶ月</t>
    <rPh sb="1" eb="2">
      <t>ゲツ</t>
    </rPh>
    <phoneticPr fontId="1"/>
  </si>
  <si>
    <t>1～5名</t>
    <rPh sb="3" eb="4">
      <t>メイ</t>
    </rPh>
    <phoneticPr fontId="4"/>
  </si>
  <si>
    <t>2020</t>
    <phoneticPr fontId="1"/>
  </si>
  <si>
    <t>12</t>
    <phoneticPr fontId="1"/>
  </si>
  <si>
    <t xml:space="preserve">大手医療機器メーカーのクラウドシステム構築 </t>
    <phoneticPr fontId="1"/>
  </si>
  <si>
    <t>PHP7.5</t>
    <phoneticPr fontId="1"/>
  </si>
  <si>
    <t>Amazon EC2</t>
    <phoneticPr fontId="1"/>
  </si>
  <si>
    <t>・設定〜保守まで各種設定
インスタンスタイプ・Amazonマシンイメージ・ネットワーク・
ストレージタイプ、容量・セキュリティグループの設定</t>
    <rPh sb="1" eb="3">
      <t xml:space="preserve">セッテイ </t>
    </rPh>
    <rPh sb="4" eb="6">
      <t xml:space="preserve">ホシュ </t>
    </rPh>
    <rPh sb="8" eb="10">
      <t xml:space="preserve">カクシュ </t>
    </rPh>
    <rPh sb="10" eb="12">
      <t xml:space="preserve">セッテイ </t>
    </rPh>
    <phoneticPr fontId="1"/>
  </si>
  <si>
    <t>Amazon linux2</t>
    <phoneticPr fontId="1"/>
  </si>
  <si>
    <t>SE</t>
  </si>
  <si>
    <t>05</t>
  </si>
  <si>
    <t>2018</t>
    <phoneticPr fontId="1"/>
  </si>
  <si>
    <t>10</t>
    <phoneticPr fontId="1"/>
  </si>
  <si>
    <t>単体テスト/キッティング作業</t>
    <rPh sb="0" eb="2">
      <t>タンタイテスト</t>
    </rPh>
    <rPh sb="12" eb="14">
      <t xml:space="preserve">サギョウ </t>
    </rPh>
    <phoneticPr fontId="1"/>
  </si>
  <si>
    <t>JavaScript</t>
    <phoneticPr fontId="1"/>
  </si>
  <si>
    <t>Windows10</t>
    <phoneticPr fontId="1"/>
  </si>
  <si>
    <t>・某通信会社の通信代管理機能の単体試験項目書作成
・テストデータと実行データによる作成
・地方銀行行員使用のPCキッティング作業</t>
    <phoneticPr fontId="1"/>
  </si>
  <si>
    <t>Virtulabox</t>
    <phoneticPr fontId="1"/>
  </si>
  <si>
    <t>ヘルプデスク</t>
  </si>
  <si>
    <t>Excel</t>
    <phoneticPr fontId="1"/>
  </si>
  <si>
    <t>Teraterm</t>
    <phoneticPr fontId="1"/>
  </si>
  <si>
    <t>4</t>
    <phoneticPr fontId="1"/>
  </si>
  <si>
    <t>2018</t>
  </si>
  <si>
    <t>NGN(次世代ネットワーク)のサーバー開発支援作業</t>
    <phoneticPr fontId="1"/>
  </si>
  <si>
    <t>RHEL 6.5</t>
    <phoneticPr fontId="1"/>
  </si>
  <si>
    <t>Ansible2.3</t>
    <phoneticPr fontId="1"/>
  </si>
  <si>
    <t>Ansibleによるリモートでサーバー構築（福岡→京都・埼玉）
・OS（RHEL6.5）チューニング、Web/APサーバ・DBサーバの新設・移行作業
DBサーバの構築・増設作業・試験</t>
    <rPh sb="22" eb="24">
      <t xml:space="preserve">フクオカ </t>
    </rPh>
    <rPh sb="25" eb="27">
      <t xml:space="preserve">キョウト </t>
    </rPh>
    <rPh sb="28" eb="30">
      <t xml:space="preserve">サイタマ </t>
    </rPh>
    <phoneticPr fontId="1"/>
  </si>
  <si>
    <t>PostgreSQL7.4</t>
    <phoneticPr fontId="1"/>
  </si>
  <si>
    <t>Vagrant</t>
    <phoneticPr fontId="1"/>
  </si>
  <si>
    <t>Tomcat8.x</t>
    <phoneticPr fontId="1"/>
  </si>
  <si>
    <t>TortoiseSVN</t>
    <phoneticPr fontId="1"/>
  </si>
  <si>
    <t>Apache2.2</t>
    <phoneticPr fontId="1"/>
  </si>
  <si>
    <t>6～10名</t>
    <rPh sb="4" eb="5">
      <t>メイ</t>
    </rPh>
    <phoneticPr fontId="4"/>
  </si>
  <si>
    <t>2017</t>
    <phoneticPr fontId="1"/>
  </si>
  <si>
    <t>ネットワーク機器の導入・交換・保守</t>
    <rPh sb="12" eb="14">
      <t xml:space="preserve">コウカン </t>
    </rPh>
    <rPh sb="15" eb="17">
      <t xml:space="preserve">ホシュ </t>
    </rPh>
    <phoneticPr fontId="1"/>
  </si>
  <si>
    <t>RHEL 6.x</t>
    <phoneticPr fontId="1"/>
  </si>
  <si>
    <t>2014</t>
    <phoneticPr fontId="1"/>
  </si>
  <si>
    <t>ソーシャルゲームの改修・デバッグ・ユーザーサポート業務</t>
    <phoneticPr fontId="1"/>
  </si>
  <si>
    <t>PHP5.4/5.5</t>
    <phoneticPr fontId="1"/>
  </si>
  <si>
    <t>Windows7</t>
    <phoneticPr fontId="1"/>
  </si>
  <si>
    <t>Git/Github</t>
    <phoneticPr fontId="1"/>
  </si>
  <si>
    <t>3プロジェクト参画（すべてブラウザゲーム）
バッチプログラム製造・単体テスト
設定・オペレーション・サポート・調査</t>
    <phoneticPr fontId="1"/>
  </si>
  <si>
    <t>MySQL5.3/5.4</t>
    <phoneticPr fontId="1"/>
  </si>
  <si>
    <t>SVN</t>
    <phoneticPr fontId="1"/>
  </si>
  <si>
    <t>2016</t>
    <phoneticPr fontId="1"/>
  </si>
  <si>
    <t>04</t>
  </si>
  <si>
    <t>2013</t>
    <phoneticPr fontId="1"/>
  </si>
  <si>
    <t>なし</t>
    <phoneticPr fontId="1"/>
  </si>
  <si>
    <t>RHEL6.x</t>
    <phoneticPr fontId="1"/>
  </si>
  <si>
    <t>Vmware製品</t>
    <rPh sb="6" eb="8">
      <t xml:space="preserve">セイヒン </t>
    </rPh>
    <phoneticPr fontId="1"/>
  </si>
  <si>
    <t>2011</t>
    <phoneticPr fontId="1"/>
  </si>
  <si>
    <t>08</t>
    <phoneticPr fontId="1"/>
  </si>
  <si>
    <t>ソースコードレビュー・テスター</t>
    <phoneticPr fontId="1"/>
  </si>
  <si>
    <t>Java</t>
    <phoneticPr fontId="1"/>
  </si>
  <si>
    <t xml:space="preserve">・大手Sierのネットバンキングシステムのソースコードレビュー及びテスター業務
</t>
    <rPh sb="31" eb="32">
      <t xml:space="preserve">オヨビ </t>
    </rPh>
    <phoneticPr fontId="1"/>
  </si>
  <si>
    <t>WSAD</t>
    <phoneticPr fontId="1"/>
  </si>
  <si>
    <t>2012</t>
    <phoneticPr fontId="1"/>
  </si>
  <si>
    <t>Eclipse3.5</t>
    <phoneticPr fontId="1"/>
  </si>
  <si>
    <t>WinMerge</t>
    <phoneticPr fontId="1"/>
  </si>
  <si>
    <t>11～50名</t>
    <rPh sb="5" eb="6">
      <t>メイ</t>
    </rPh>
    <phoneticPr fontId="4"/>
  </si>
  <si>
    <t>大手損保会社のWebシステムのバッチファイル作成</t>
    <rPh sb="0" eb="1">
      <t xml:space="preserve">オオテギンコウ </t>
    </rPh>
    <rPh sb="2" eb="6">
      <t xml:space="preserve">ソンポガイシャ </t>
    </rPh>
    <phoneticPr fontId="1"/>
  </si>
  <si>
    <t>Eclipse3.4</t>
    <phoneticPr fontId="1"/>
  </si>
  <si>
    <t>詳細設計〜運用・保守</t>
    <rPh sb="0" eb="2">
      <t xml:space="preserve">ショウサイ </t>
    </rPh>
    <rPh sb="2" eb="4">
      <t>セッケイ・</t>
    </rPh>
    <rPh sb="5" eb="7">
      <t xml:space="preserve">ウンヨウホオシュ </t>
    </rPh>
    <rPh sb="8" eb="10">
      <t xml:space="preserve">ホシュ </t>
    </rPh>
    <phoneticPr fontId="1"/>
  </si>
  <si>
    <t>コーダー</t>
  </si>
  <si>
    <t>2010</t>
    <phoneticPr fontId="1"/>
  </si>
  <si>
    <t>06</t>
    <phoneticPr fontId="1"/>
  </si>
  <si>
    <t>2008</t>
    <phoneticPr fontId="1"/>
  </si>
  <si>
    <t>社員向けポータルサイト・HP作成改修/保守</t>
    <rPh sb="0" eb="3">
      <t xml:space="preserve">シャインムケ </t>
    </rPh>
    <rPh sb="14" eb="18">
      <t xml:space="preserve">サクセイカイシュウ </t>
    </rPh>
    <phoneticPr fontId="1"/>
  </si>
  <si>
    <t>PHP5.2</t>
    <phoneticPr fontId="1"/>
  </si>
  <si>
    <t>MySQL5.0</t>
    <phoneticPr fontId="1"/>
  </si>
  <si>
    <t>ミドルウェア開発（POSシステム端末）・販売会社の社員向けポータルサイト（CMS）の設計〜運用・保守</t>
    <rPh sb="16" eb="18">
      <t xml:space="preserve">タンマツ </t>
    </rPh>
    <rPh sb="20" eb="24">
      <t xml:space="preserve">ハンバイガイシャ </t>
    </rPh>
    <rPh sb="25" eb="28">
      <t>シャインムケ</t>
    </rPh>
    <rPh sb="42" eb="44">
      <t>セッケイ・</t>
    </rPh>
    <rPh sb="45" eb="47">
      <t xml:space="preserve">ウンヨウホオシュ </t>
    </rPh>
    <rPh sb="48" eb="50">
      <t xml:space="preserve">ホシュ </t>
    </rPh>
    <phoneticPr fontId="1"/>
  </si>
  <si>
    <t>XHTML</t>
    <phoneticPr fontId="1"/>
  </si>
  <si>
    <t>CSS</t>
    <phoneticPr fontId="1"/>
  </si>
  <si>
    <t>11</t>
    <phoneticPr fontId="1"/>
  </si>
  <si>
    <t>2006</t>
    <phoneticPr fontId="1"/>
  </si>
  <si>
    <t>ネットバンキング主要システムの構築</t>
    <rPh sb="8" eb="10">
      <t xml:space="preserve">シュヨウ </t>
    </rPh>
    <phoneticPr fontId="1"/>
  </si>
  <si>
    <t>Windows Server2003</t>
    <phoneticPr fontId="1"/>
  </si>
  <si>
    <t>Oracle10g</t>
    <phoneticPr fontId="1"/>
  </si>
  <si>
    <t>1．「ネットバンク」システム/信託銀行ネットバンキングのオープン化
「ログイン」・「入出金額」画面部門</t>
    <rPh sb="9" eb="13">
      <t xml:space="preserve">ハンバイガイシャ </t>
    </rPh>
    <rPh sb="23" eb="25">
      <t>セッケイ・</t>
    </rPh>
    <rPh sb="26" eb="28">
      <t xml:space="preserve">ウンヨウホオシュ </t>
    </rPh>
    <rPh sb="29" eb="31">
      <t xml:space="preserve">ホシュ </t>
    </rPh>
    <phoneticPr fontId="1"/>
  </si>
  <si>
    <t>JSP</t>
    <phoneticPr fontId="1"/>
  </si>
  <si>
    <t>Eclipse3.3</t>
    <phoneticPr fontId="1"/>
  </si>
  <si>
    <t>PG</t>
  </si>
  <si>
    <t>Servlet</t>
    <phoneticPr fontId="1"/>
  </si>
  <si>
    <t>iBatis</t>
    <phoneticPr fontId="1"/>
  </si>
  <si>
    <t>TERASOLUNA</t>
    <phoneticPr fontId="1"/>
  </si>
  <si>
    <t>2005</t>
    <phoneticPr fontId="1"/>
  </si>
  <si>
    <t>06</t>
  </si>
  <si>
    <t>BrightStor</t>
    <phoneticPr fontId="1"/>
  </si>
  <si>
    <t>1．「ベンダー要望書」に基づく評価業務
2．BTO（Build To Order）評価業務（工場出荷段階での評価業務）上記、評価時の不具合原因調査、報告、作業手順書改訂作業         
 3．試作機でのサーバー構築テスト作業(構築対象サーバー：Web/ftp)</t>
    <phoneticPr fontId="1"/>
  </si>
  <si>
    <t>RHEL3.x/4.x</t>
    <phoneticPr fontId="1"/>
  </si>
  <si>
    <t>ARCserve</t>
    <phoneticPr fontId="1"/>
  </si>
  <si>
    <t>CentOS3.x/4.x</t>
    <phoneticPr fontId="1"/>
  </si>
  <si>
    <t>BackupExec</t>
    <phoneticPr fontId="1"/>
  </si>
  <si>
    <t>Solaris</t>
    <phoneticPr fontId="1"/>
  </si>
  <si>
    <t>FreeBSD</t>
    <phoneticPr fontId="1"/>
  </si>
  <si>
    <t>Apache1.x</t>
    <phoneticPr fontId="1"/>
  </si>
  <si>
    <t>Miracle Linux4.0</t>
    <phoneticPr fontId="1"/>
  </si>
  <si>
    <t>IIS6.0</t>
    <phoneticPr fontId="1"/>
  </si>
  <si>
    <t xml:space="preserve"> ■スキル(評価レベル)  </t>
    <phoneticPr fontId="1"/>
  </si>
  <si>
    <t>保有技術</t>
  </si>
  <si>
    <t>業務範囲</t>
    <phoneticPr fontId="1"/>
  </si>
  <si>
    <t>言語</t>
    <rPh sb="0" eb="2">
      <t>ゲンゴ</t>
    </rPh>
    <phoneticPr fontId="1"/>
  </si>
  <si>
    <t>D</t>
  </si>
  <si>
    <t>各フレームワーク/ライブラリ</t>
    <rPh sb="0" eb="1">
      <t>カク</t>
    </rPh>
    <phoneticPr fontId="1"/>
  </si>
  <si>
    <t>Django</t>
    <phoneticPr fontId="1"/>
  </si>
  <si>
    <t>システム企画提案</t>
    <rPh sb="4" eb="6">
      <t>キカク</t>
    </rPh>
    <rPh sb="6" eb="8">
      <t>テイアン</t>
    </rPh>
    <phoneticPr fontId="1"/>
  </si>
  <si>
    <t>ABAP</t>
  </si>
  <si>
    <t>RPG</t>
    <phoneticPr fontId="1"/>
  </si>
  <si>
    <t>C#.NET</t>
    <phoneticPr fontId="1"/>
  </si>
  <si>
    <t>Tensorflow</t>
    <phoneticPr fontId="1"/>
  </si>
  <si>
    <t>C</t>
  </si>
  <si>
    <t>Ruby</t>
    <phoneticPr fontId="1"/>
  </si>
  <si>
    <t>VB.NET</t>
  </si>
  <si>
    <t>React Native</t>
    <phoneticPr fontId="1"/>
  </si>
  <si>
    <t>基本設計</t>
    <phoneticPr fontId="1"/>
  </si>
  <si>
    <t>C</t>
    <phoneticPr fontId="1"/>
  </si>
  <si>
    <t xml:space="preserve">Rust </t>
    <phoneticPr fontId="1"/>
  </si>
  <si>
    <t>Bootstrap</t>
    <phoneticPr fontId="1"/>
  </si>
  <si>
    <t>詳細設計</t>
    <phoneticPr fontId="1"/>
  </si>
  <si>
    <t>B</t>
  </si>
  <si>
    <t>C#</t>
    <phoneticPr fontId="1"/>
  </si>
  <si>
    <t>Scala</t>
    <phoneticPr fontId="1"/>
  </si>
  <si>
    <t>AngularJS</t>
    <phoneticPr fontId="1"/>
  </si>
  <si>
    <t>C++</t>
    <phoneticPr fontId="1"/>
  </si>
  <si>
    <t>Shell</t>
    <phoneticPr fontId="1"/>
  </si>
  <si>
    <t>Angular</t>
    <phoneticPr fontId="1"/>
  </si>
  <si>
    <t>クラウドサービス</t>
  </si>
  <si>
    <t>単体テスト</t>
    <rPh sb="0" eb="2">
      <t>タンタ</t>
    </rPh>
    <phoneticPr fontId="1"/>
  </si>
  <si>
    <t>COBOL</t>
    <phoneticPr fontId="1"/>
  </si>
  <si>
    <t>SQL</t>
    <phoneticPr fontId="1"/>
  </si>
  <si>
    <t>Vue.js</t>
  </si>
  <si>
    <t>AWS</t>
  </si>
  <si>
    <t>結合・総合テスト</t>
    <rPh sb="0" eb="2">
      <t>ケツゴ</t>
    </rPh>
    <rPh sb="3" eb="5">
      <t>ソウゴウ</t>
    </rPh>
    <phoneticPr fontId="1"/>
  </si>
  <si>
    <t>Dart</t>
    <phoneticPr fontId="1"/>
  </si>
  <si>
    <t>Swift</t>
    <phoneticPr fontId="1"/>
  </si>
  <si>
    <t>Backbone.js</t>
  </si>
  <si>
    <t>Google Cloud Platform</t>
  </si>
  <si>
    <t>Delphi</t>
    <phoneticPr fontId="1"/>
  </si>
  <si>
    <t>TypeScript</t>
    <phoneticPr fontId="1"/>
  </si>
  <si>
    <t>Ember.js</t>
  </si>
  <si>
    <t>Azure</t>
    <phoneticPr fontId="1"/>
  </si>
  <si>
    <t>マネジメント</t>
    <phoneticPr fontId="1"/>
  </si>
  <si>
    <t>Fantom</t>
    <phoneticPr fontId="1"/>
  </si>
  <si>
    <t>VB</t>
    <phoneticPr fontId="1"/>
  </si>
  <si>
    <t>Node.js</t>
    <phoneticPr fontId="1"/>
  </si>
  <si>
    <t>Docker/K8s</t>
    <phoneticPr fontId="1"/>
  </si>
  <si>
    <t>アジャイル開発</t>
    <rPh sb="5" eb="7">
      <t>カイハツ</t>
    </rPh>
    <phoneticPr fontId="1"/>
  </si>
  <si>
    <t>Go</t>
    <phoneticPr fontId="1"/>
  </si>
  <si>
    <t>ExcelVBA</t>
    <phoneticPr fontId="1"/>
  </si>
  <si>
    <t>jQuery</t>
    <phoneticPr fontId="1"/>
  </si>
  <si>
    <t>Haskell</t>
    <phoneticPr fontId="1"/>
  </si>
  <si>
    <t>AccessVBA</t>
    <phoneticPr fontId="1"/>
  </si>
  <si>
    <t>React</t>
  </si>
  <si>
    <t>OS</t>
    <phoneticPr fontId="1"/>
  </si>
  <si>
    <t xml:space="preserve">HTML/CSS            
</t>
    <phoneticPr fontId="1"/>
  </si>
  <si>
    <t>XML</t>
    <phoneticPr fontId="1"/>
  </si>
  <si>
    <t>Lodash</t>
  </si>
  <si>
    <t>プロジェクト管理系</t>
    <rPh sb="6" eb="8">
      <t>カンリ</t>
    </rPh>
    <rPh sb="8" eb="9">
      <t>ケイ</t>
    </rPh>
    <phoneticPr fontId="1"/>
  </si>
  <si>
    <t>Windows</t>
    <phoneticPr fontId="1"/>
  </si>
  <si>
    <t>Underscore</t>
  </si>
  <si>
    <t>Git/GitHub</t>
    <phoneticPr fontId="1"/>
  </si>
  <si>
    <t>Linux</t>
    <phoneticPr fontId="1"/>
  </si>
  <si>
    <t>B</t>
    <phoneticPr fontId="1"/>
  </si>
  <si>
    <t>Java(Android)</t>
    <phoneticPr fontId="1"/>
  </si>
  <si>
    <t>Ruby on Rails</t>
  </si>
  <si>
    <t>Backlog</t>
  </si>
  <si>
    <t>Mac OS</t>
    <phoneticPr fontId="1"/>
  </si>
  <si>
    <t>データベース</t>
    <phoneticPr fontId="1"/>
  </si>
  <si>
    <t>Sinatra</t>
  </si>
  <si>
    <t>Redmine</t>
  </si>
  <si>
    <t>Unix</t>
  </si>
  <si>
    <t>Kotlin</t>
  </si>
  <si>
    <t>MySQL</t>
  </si>
  <si>
    <t>spring Framework</t>
    <phoneticPr fontId="1"/>
  </si>
  <si>
    <t>開発環境</t>
    <rPh sb="0" eb="2">
      <t>カイハツ</t>
    </rPh>
    <rPh sb="2" eb="4">
      <t>カンキョウ</t>
    </rPh>
    <phoneticPr fontId="1"/>
  </si>
  <si>
    <t>BSD</t>
  </si>
  <si>
    <t>Objective-C</t>
    <phoneticPr fontId="1"/>
  </si>
  <si>
    <t>SQL Server</t>
  </si>
  <si>
    <t>spring boot</t>
    <phoneticPr fontId="1"/>
  </si>
  <si>
    <t>Eclipse</t>
  </si>
  <si>
    <t>iOS</t>
    <phoneticPr fontId="1"/>
  </si>
  <si>
    <t>Perl</t>
    <phoneticPr fontId="1"/>
  </si>
  <si>
    <t>PostgreSQL</t>
  </si>
  <si>
    <t>struts</t>
    <phoneticPr fontId="1"/>
  </si>
  <si>
    <t>Visual Studio</t>
  </si>
  <si>
    <t>Android</t>
    <phoneticPr fontId="1"/>
  </si>
  <si>
    <t>PHP</t>
    <phoneticPr fontId="1"/>
  </si>
  <si>
    <t>Oracle</t>
    <phoneticPr fontId="1"/>
  </si>
  <si>
    <t>Laravel</t>
    <phoneticPr fontId="1"/>
  </si>
  <si>
    <t>CRM</t>
    <phoneticPr fontId="1"/>
  </si>
  <si>
    <t>VmWare</t>
    <phoneticPr fontId="1"/>
  </si>
  <si>
    <t>PowerShell</t>
    <phoneticPr fontId="1"/>
  </si>
  <si>
    <t>SQLite</t>
    <phoneticPr fontId="1"/>
  </si>
  <si>
    <t>CakePHP</t>
    <phoneticPr fontId="1"/>
  </si>
  <si>
    <t>Salesforce</t>
  </si>
  <si>
    <t>Python</t>
    <phoneticPr fontId="1"/>
  </si>
  <si>
    <t>DB2</t>
    <phoneticPr fontId="1"/>
  </si>
  <si>
    <t>FuelPHP</t>
    <phoneticPr fontId="1"/>
  </si>
  <si>
    <t>Kintone</t>
  </si>
  <si>
    <t>PL/SQL</t>
    <phoneticPr fontId="1"/>
  </si>
  <si>
    <t>MongoDB</t>
    <phoneticPr fontId="1"/>
  </si>
  <si>
    <t>SAP</t>
    <phoneticPr fontId="1"/>
  </si>
  <si>
    <t>日</t>
    <rPh sb="0" eb="1">
      <t>ヒ</t>
    </rPh>
    <phoneticPr fontId="1"/>
  </si>
  <si>
    <t>年齢</t>
    <rPh sb="0" eb="2">
      <t>ネンレイ</t>
    </rPh>
    <phoneticPr fontId="1"/>
  </si>
  <si>
    <t>休日出勤可否</t>
    <rPh sb="0" eb="2">
      <t>キュウジツ</t>
    </rPh>
    <rPh sb="2" eb="4">
      <t>シュッキン</t>
    </rPh>
    <rPh sb="4" eb="6">
      <t>カヒ</t>
    </rPh>
    <phoneticPr fontId="1"/>
  </si>
  <si>
    <t>残業の可否</t>
    <rPh sb="0" eb="2">
      <t>ザンギョウ</t>
    </rPh>
    <rPh sb="3" eb="5">
      <t>カヒ</t>
    </rPh>
    <phoneticPr fontId="1"/>
  </si>
  <si>
    <t>遠距離出張可否</t>
    <rPh sb="0" eb="3">
      <t>エンキョリ</t>
    </rPh>
    <rPh sb="3" eb="5">
      <t>シュッチョウ</t>
    </rPh>
    <rPh sb="5" eb="7">
      <t>カヒ</t>
    </rPh>
    <phoneticPr fontId="1"/>
  </si>
  <si>
    <t>スキルレベル</t>
    <phoneticPr fontId="4"/>
  </si>
  <si>
    <t>プロジェクト人数</t>
    <rPh sb="6" eb="8">
      <t>ニンズウ</t>
    </rPh>
    <phoneticPr fontId="4"/>
  </si>
  <si>
    <t>業務範囲</t>
    <rPh sb="0" eb="2">
      <t>ギョウム</t>
    </rPh>
    <rPh sb="2" eb="4">
      <t>ハンイ</t>
    </rPh>
    <phoneticPr fontId="4"/>
  </si>
  <si>
    <t>OS</t>
  </si>
  <si>
    <t>Web開発言語
サーバーサイド</t>
    <rPh sb="3" eb="5">
      <t>カイハツ</t>
    </rPh>
    <rPh sb="5" eb="7">
      <t>ゲンゴ</t>
    </rPh>
    <phoneticPr fontId="4"/>
  </si>
  <si>
    <t>Web開発言語
クライアントサイド</t>
    <rPh sb="3" eb="5">
      <t>カイハツ</t>
    </rPh>
    <rPh sb="5" eb="7">
      <t>ゲンゴ</t>
    </rPh>
    <phoneticPr fontId="4"/>
  </si>
  <si>
    <t>汎用言語
ネイティブ系</t>
    <rPh sb="0" eb="2">
      <t>ハンヨウ</t>
    </rPh>
    <rPh sb="2" eb="4">
      <t>ゲンゴ</t>
    </rPh>
    <rPh sb="10" eb="11">
      <t>ケイ</t>
    </rPh>
    <phoneticPr fontId="4"/>
  </si>
  <si>
    <t>汎用言語
仮想マシン系</t>
    <rPh sb="0" eb="2">
      <t>ハンヨウ</t>
    </rPh>
    <rPh sb="2" eb="4">
      <t>ゲンゴ</t>
    </rPh>
    <rPh sb="5" eb="7">
      <t>カソウ</t>
    </rPh>
    <rPh sb="10" eb="11">
      <t>ケイ</t>
    </rPh>
    <phoneticPr fontId="4"/>
  </si>
  <si>
    <t>その他言語</t>
    <rPh sb="2" eb="3">
      <t>タ</t>
    </rPh>
    <rPh sb="3" eb="5">
      <t>ゲンゴ</t>
    </rPh>
    <phoneticPr fontId="4"/>
  </si>
  <si>
    <t>データベース</t>
  </si>
  <si>
    <t>SQLite</t>
  </si>
  <si>
    <t>.NET
フレームワーク</t>
  </si>
  <si>
    <t>JavaScript
フレームワーク</t>
  </si>
  <si>
    <t>JavaScript
ライブラリ</t>
  </si>
  <si>
    <t>JavaScript
環境</t>
    <rPh sb="11" eb="13">
      <t>カンキョウ</t>
    </rPh>
    <phoneticPr fontId="4"/>
  </si>
  <si>
    <t>Ruby
フレームワーク</t>
  </si>
  <si>
    <t>Java
フレームワーク</t>
  </si>
  <si>
    <t>PHP
フレームワーク</t>
  </si>
  <si>
    <t>クラウドコンピューティングサービス</t>
  </si>
  <si>
    <t>プロジェクト・
ソースコード管理</t>
    <rPh sb="14" eb="16">
      <t>カンリ</t>
    </rPh>
    <phoneticPr fontId="4"/>
  </si>
  <si>
    <t>IDE：統合開発環境</t>
  </si>
  <si>
    <t>CRM</t>
  </si>
  <si>
    <t>役割</t>
    <rPh sb="0" eb="2">
      <t>ヤクワリ</t>
    </rPh>
    <phoneticPr fontId="1"/>
  </si>
  <si>
    <t>18</t>
    <phoneticPr fontId="1"/>
  </si>
  <si>
    <t>可</t>
    <rPh sb="0" eb="1">
      <t>カ</t>
    </rPh>
    <phoneticPr fontId="1"/>
  </si>
  <si>
    <t>不可</t>
    <rPh sb="0" eb="2">
      <t>フカ</t>
    </rPh>
    <phoneticPr fontId="1"/>
  </si>
  <si>
    <t>A</t>
    <phoneticPr fontId="4"/>
  </si>
  <si>
    <t>Windows</t>
  </si>
  <si>
    <t>PHP</t>
  </si>
  <si>
    <t>JavaScript</t>
  </si>
  <si>
    <t>Java</t>
  </si>
  <si>
    <t>HTML</t>
    <phoneticPr fontId="1"/>
  </si>
  <si>
    <t>02</t>
    <phoneticPr fontId="1"/>
  </si>
  <si>
    <t>02</t>
  </si>
  <si>
    <t>19</t>
    <phoneticPr fontId="1"/>
  </si>
  <si>
    <t>女性</t>
    <rPh sb="0" eb="2">
      <t>ジョセイ</t>
    </rPh>
    <phoneticPr fontId="1"/>
  </si>
  <si>
    <t>180h以内</t>
    <rPh sb="4" eb="6">
      <t>イナイ</t>
    </rPh>
    <phoneticPr fontId="1"/>
  </si>
  <si>
    <t>B</t>
    <phoneticPr fontId="4"/>
  </si>
  <si>
    <t>要件定義</t>
  </si>
  <si>
    <t>Python</t>
  </si>
  <si>
    <t>ColdFusion</t>
  </si>
  <si>
    <t>C++</t>
  </si>
  <si>
    <t>C#</t>
  </si>
  <si>
    <t>C#.NET</t>
  </si>
  <si>
    <t>AngularJS</t>
  </si>
  <si>
    <t>jQuery</t>
  </si>
  <si>
    <t>Node.js</t>
  </si>
  <si>
    <t>spring</t>
  </si>
  <si>
    <t>Laravel</t>
  </si>
  <si>
    <t>AWS</t>
    <phoneticPr fontId="4"/>
  </si>
  <si>
    <t>GitHub</t>
  </si>
  <si>
    <t>03</t>
  </si>
  <si>
    <t>20</t>
  </si>
  <si>
    <t>200h以内</t>
    <rPh sb="4" eb="6">
      <t>イナイ</t>
    </rPh>
    <phoneticPr fontId="1"/>
  </si>
  <si>
    <t>C</t>
    <phoneticPr fontId="4"/>
  </si>
  <si>
    <t>Mac OS</t>
  </si>
  <si>
    <t>Ruby</t>
  </si>
  <si>
    <t>Objective C</t>
  </si>
  <si>
    <t>Scala</t>
  </si>
  <si>
    <t>VBA</t>
    <phoneticPr fontId="1"/>
  </si>
  <si>
    <t>Angular</t>
  </si>
  <si>
    <t>struts</t>
  </si>
  <si>
    <t>CakePHP</t>
  </si>
  <si>
    <t>Google Cloud Platform</t>
    <phoneticPr fontId="4"/>
  </si>
  <si>
    <t>Xcode</t>
  </si>
  <si>
    <t>21</t>
  </si>
  <si>
    <t>200h以上可</t>
    <rPh sb="4" eb="6">
      <t>イジョウ</t>
    </rPh>
    <rPh sb="6" eb="7">
      <t>カ</t>
    </rPh>
    <phoneticPr fontId="1"/>
  </si>
  <si>
    <t>D</t>
    <phoneticPr fontId="4"/>
  </si>
  <si>
    <t>50～100名</t>
    <rPh sb="6" eb="7">
      <t>メイ</t>
    </rPh>
    <phoneticPr fontId="4"/>
  </si>
  <si>
    <t>Perl</t>
  </si>
  <si>
    <t>Swift</t>
  </si>
  <si>
    <t>COBOL</t>
  </si>
  <si>
    <t>cuba microframework</t>
  </si>
  <si>
    <t>JSF</t>
  </si>
  <si>
    <t>FuelPHP</t>
  </si>
  <si>
    <t>IBM Cloud</t>
    <phoneticPr fontId="4"/>
  </si>
  <si>
    <t>JetBrains</t>
  </si>
  <si>
    <t>PM</t>
  </si>
  <si>
    <t>22</t>
  </si>
  <si>
    <t>E</t>
    <phoneticPr fontId="4"/>
  </si>
  <si>
    <t>101名以上</t>
    <rPh sb="3" eb="4">
      <t>メイ</t>
    </rPh>
    <rPh sb="4" eb="6">
      <t>イジョウ</t>
    </rPh>
    <phoneticPr fontId="4"/>
  </si>
  <si>
    <t>実装・単体</t>
    <rPh sb="0" eb="2">
      <t>ジッソウ</t>
    </rPh>
    <rPh sb="3" eb="5">
      <t>タンタイ</t>
    </rPh>
    <phoneticPr fontId="4"/>
  </si>
  <si>
    <t>Shell</t>
  </si>
  <si>
    <t>XML</t>
  </si>
  <si>
    <t>MongoDB</t>
  </si>
  <si>
    <t>Ramaze</t>
  </si>
  <si>
    <t>Zend Framework</t>
  </si>
  <si>
    <t>IDCFクラウド</t>
    <phoneticPr fontId="4"/>
  </si>
  <si>
    <t>Subversion</t>
  </si>
  <si>
    <t>IntelliJ IDEA</t>
  </si>
  <si>
    <t>PMO</t>
  </si>
  <si>
    <t>23</t>
  </si>
  <si>
    <t>結合テスト</t>
    <rPh sb="0" eb="2">
      <t>ケツゴウ</t>
    </rPh>
    <phoneticPr fontId="4"/>
  </si>
  <si>
    <t>iOS</t>
  </si>
  <si>
    <t>SQL</t>
  </si>
  <si>
    <t>Oracle</t>
  </si>
  <si>
    <t>HANAMI</t>
  </si>
  <si>
    <t>Microsoft Azure</t>
    <phoneticPr fontId="4"/>
  </si>
  <si>
    <t>MonoDevelop</t>
  </si>
  <si>
    <t>PL</t>
  </si>
  <si>
    <t>24</t>
  </si>
  <si>
    <t>総合テスト</t>
    <rPh sb="0" eb="2">
      <t>ソウゴウ</t>
    </rPh>
    <phoneticPr fontId="4"/>
  </si>
  <si>
    <t>Android</t>
  </si>
  <si>
    <t>PL/SQL</t>
  </si>
  <si>
    <t>Redis</t>
  </si>
  <si>
    <t>Knockout.js</t>
  </si>
  <si>
    <t>Padrino</t>
  </si>
  <si>
    <t>ニフクラ</t>
    <phoneticPr fontId="4"/>
  </si>
  <si>
    <t>ディレクター</t>
  </si>
  <si>
    <t>08</t>
  </si>
  <si>
    <t>25</t>
  </si>
  <si>
    <t>リリース</t>
  </si>
  <si>
    <t>GO</t>
  </si>
  <si>
    <t>Cassandra</t>
  </si>
  <si>
    <t>NTT Communications Cloudn</t>
    <phoneticPr fontId="4"/>
  </si>
  <si>
    <t>NetBeans</t>
  </si>
  <si>
    <t>09</t>
  </si>
  <si>
    <t>26</t>
  </si>
  <si>
    <t>保守・運用</t>
    <rPh sb="0" eb="2">
      <t>ホシュ</t>
    </rPh>
    <rPh sb="3" eb="5">
      <t>ウンヨウ</t>
    </rPh>
    <phoneticPr fontId="4"/>
  </si>
  <si>
    <t>Delphi</t>
  </si>
  <si>
    <t>さくらのクラウド</t>
    <phoneticPr fontId="4"/>
  </si>
  <si>
    <t>Code::Blocks</t>
  </si>
  <si>
    <t>WEBデザイナー</t>
  </si>
  <si>
    <t>10</t>
  </si>
  <si>
    <t>27</t>
  </si>
  <si>
    <t>業務装着</t>
    <rPh sb="0" eb="2">
      <t>ギョウム</t>
    </rPh>
    <rPh sb="2" eb="4">
      <t>ソウチャク</t>
    </rPh>
    <phoneticPr fontId="4"/>
  </si>
  <si>
    <t>UML</t>
  </si>
  <si>
    <t>AppCode</t>
  </si>
  <si>
    <t>フロントエンジニア</t>
  </si>
  <si>
    <t>28</t>
  </si>
  <si>
    <t>マネジメント</t>
  </si>
  <si>
    <t>VB</t>
  </si>
  <si>
    <t>Android Studio</t>
  </si>
  <si>
    <t>12</t>
  </si>
  <si>
    <t>29</t>
  </si>
  <si>
    <t>RPG</t>
  </si>
  <si>
    <t>13</t>
  </si>
  <si>
    <t>30</t>
  </si>
  <si>
    <t>Batch</t>
  </si>
  <si>
    <t>テクニカルサポート</t>
  </si>
  <si>
    <t>14</t>
  </si>
  <si>
    <t>31</t>
  </si>
  <si>
    <t>コンサルタント</t>
  </si>
  <si>
    <t>15</t>
  </si>
  <si>
    <t>32</t>
  </si>
  <si>
    <t>16</t>
  </si>
  <si>
    <t>33</t>
  </si>
  <si>
    <t>17</t>
  </si>
  <si>
    <t>34</t>
  </si>
  <si>
    <t>18</t>
  </si>
  <si>
    <t>35</t>
  </si>
  <si>
    <t>19</t>
  </si>
  <si>
    <t>36</t>
  </si>
  <si>
    <t>37</t>
  </si>
  <si>
    <t>38</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</si>
  <si>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</si>
  <si>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</si>
  <si>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</si>
  <si>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</si>
  <si>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</si>
  <si>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</si>
  <si>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</si>
  <si>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</si>
  <si>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</si>
  <si>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</si>
  <si>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</si>
  <si>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</si>
  <si>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</si>
  <si>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</si>
  <si>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</si>
  <si>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</si>
  <si>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</si>
  <si>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</si>
  <si>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</si>
  <si>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</si>
  <si>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</si>
  <si>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</si>
  <si>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</si>
  <si>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</si>
  <si>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</si>
  <si>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</si>
  <si>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</si>
  <si>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</si>
  <si>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</si>
  <si>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</si>
  <si>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</si>
  <si>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2010</t>
  </si>
  <si>
    <t>2011</t>
  </si>
  <si>
    <t>NEC自社開発ツール</t>
    <rPh sb="3" eb="5">
      <t>ジシャ</t>
    </rPh>
    <phoneticPr fontId="1"/>
  </si>
  <si>
    <t>virtualbox</t>
    <phoneticPr fontId="1"/>
  </si>
  <si>
    <t>PostgreSQL10</t>
    <phoneticPr fontId="1"/>
  </si>
  <si>
    <t>各種OS対応</t>
    <rPh sb="0" eb="2">
      <t>カクシュOS</t>
    </rPh>
    <rPh sb="4" eb="6">
      <t xml:space="preserve">タイオウ </t>
    </rPh>
    <phoneticPr fontId="1"/>
  </si>
  <si>
    <t>AWS（IAM）</t>
    <phoneticPr fontId="1"/>
  </si>
  <si>
    <t>RoR（4.2.x）</t>
    <phoneticPr fontId="1"/>
  </si>
  <si>
    <t>Ruby2.7以降</t>
    <phoneticPr fontId="1"/>
  </si>
  <si>
    <t>Ruby環境のクラウドサービス（AWS）のカスタマーサポート</t>
    <rPh sb="4" eb="6">
      <t xml:space="preserve">カンキョウ </t>
    </rPh>
    <phoneticPr fontId="1"/>
  </si>
  <si>
    <t>MySQL8.0.x</t>
    <phoneticPr fontId="1"/>
  </si>
  <si>
    <t>MySQL（MariaDB）</t>
    <phoneticPr fontId="1"/>
  </si>
  <si>
    <t>2022</t>
    <phoneticPr fontId="1"/>
  </si>
  <si>
    <t>13</t>
    <phoneticPr fontId="1"/>
  </si>
  <si>
    <t>商用Redmine/Redmica製品の運用サポート・夜間メンテナンス</t>
    <rPh sb="0" eb="2">
      <t xml:space="preserve">ショウヨウ </t>
    </rPh>
    <phoneticPr fontId="1"/>
  </si>
  <si>
    <t>社内使用のRedmineプラグインの設計・開発・導入</t>
    <rPh sb="0" eb="4">
      <t xml:space="preserve">シャナイシヨウ </t>
    </rPh>
    <rPh sb="21" eb="23">
      <t xml:space="preserve">カイハツ </t>
    </rPh>
    <rPh sb="24" eb="26">
      <t xml:space="preserve">ドウニュウ </t>
    </rPh>
    <phoneticPr fontId="1"/>
  </si>
  <si>
    <t>Redmine/Redmica</t>
    <phoneticPr fontId="1"/>
  </si>
  <si>
    <t>Redmine/Redmicaカスタマイズ（クラウド製品）製品使用ユーザーサポート・夜間メンテナンス</t>
    <rPh sb="26" eb="28">
      <t xml:space="preserve">セイヒン </t>
    </rPh>
    <rPh sb="31" eb="33">
      <t xml:space="preserve">シヨウ </t>
    </rPh>
    <rPh sb="42" eb="44">
      <t>ヤカンメンテ</t>
    </rPh>
    <phoneticPr fontId="1"/>
  </si>
  <si>
    <t>40</t>
    <phoneticPr fontId="1"/>
  </si>
  <si>
    <t>PHP7.4
→8.0</t>
    <phoneticPr fontId="1"/>
  </si>
  <si>
    <t>Apache2.4</t>
    <phoneticPr fontId="1"/>
  </si>
  <si>
    <t>WordPress5.9.2</t>
    <phoneticPr fontId="1"/>
  </si>
  <si>
    <t>3</t>
    <phoneticPr fontId="1"/>
  </si>
  <si>
    <t>Splashtop</t>
    <phoneticPr fontId="1"/>
  </si>
  <si>
    <t>2</t>
    <phoneticPr fontId="1"/>
  </si>
  <si>
    <t>5</t>
    <phoneticPr fontId="1"/>
  </si>
  <si>
    <t>6</t>
    <phoneticPr fontId="1"/>
  </si>
  <si>
    <t>7</t>
    <phoneticPr fontId="1"/>
  </si>
  <si>
    <t>8</t>
    <phoneticPr fontId="1"/>
  </si>
  <si>
    <t>9</t>
    <phoneticPr fontId="1"/>
  </si>
  <si>
    <t>14</t>
    <phoneticPr fontId="1"/>
  </si>
  <si>
    <t>Flask</t>
    <phoneticPr fontId="1"/>
  </si>
  <si>
    <t>・実務経験（上記スキルDは省略）</t>
    <rPh sb="1" eb="2">
      <t xml:space="preserve">ジツ </t>
    </rPh>
    <rPh sb="2" eb="5">
      <t xml:space="preserve">ギョウムケイケン </t>
    </rPh>
    <rPh sb="6" eb="8">
      <t xml:space="preserve">ジョウキスキル </t>
    </rPh>
    <rPh sb="13" eb="15">
      <t xml:space="preserve">ショウリャク </t>
    </rPh>
    <phoneticPr fontId="1"/>
  </si>
  <si>
    <t>WordPress</t>
    <phoneticPr fontId="1"/>
  </si>
  <si>
    <t>Fedora35</t>
    <phoneticPr fontId="1"/>
  </si>
  <si>
    <t>AWS Lambda(PHP)</t>
    <phoneticPr fontId="1"/>
  </si>
  <si>
    <t>Amazon Workspace</t>
    <phoneticPr fontId="1"/>
  </si>
  <si>
    <t>大手ベンダー製品の企業向けコールセンター業務（サーバー対応）</t>
    <rPh sb="0" eb="2">
      <t xml:space="preserve">オオテベンダー </t>
    </rPh>
    <phoneticPr fontId="1"/>
  </si>
  <si>
    <t xml:space="preserve">	・職務経歴書																		</t>
    <rPh sb="2" eb="7">
      <t xml:space="preserve">ショクムケイレキショ </t>
    </rPh>
    <phoneticPr fontId="1"/>
  </si>
  <si>
    <t>地下鉄空港</t>
    <rPh sb="0" eb="3">
      <t xml:space="preserve">チカテツ </t>
    </rPh>
    <rPh sb="3" eb="5">
      <t xml:space="preserve">クウコウ </t>
    </rPh>
    <phoneticPr fontId="1"/>
  </si>
  <si>
    <t>大手国産ベンダー製サーバー評価業務</t>
    <rPh sb="0" eb="2">
      <t xml:space="preserve">オオテ </t>
    </rPh>
    <rPh sb="2" eb="4">
      <t xml:space="preserve">コクサン </t>
    </rPh>
    <rPh sb="13" eb="15">
      <t xml:space="preserve">ヒョウカ </t>
    </rPh>
    <rPh sb="15" eb="17">
      <t xml:space="preserve">ギョウム </t>
    </rPh>
    <phoneticPr fontId="1"/>
  </si>
  <si>
    <t>XAMPP8.0（Windows）</t>
    <phoneticPr fontId="1"/>
  </si>
  <si>
    <t>Windows10（端末OS）</t>
    <rPh sb="10" eb="12">
      <t xml:space="preserve">タンマツ </t>
    </rPh>
    <phoneticPr fontId="1"/>
  </si>
  <si>
    <t>JavaScript
（テストツール）</t>
    <phoneticPr fontId="1"/>
  </si>
  <si>
    <t>Python2.7.x</t>
    <phoneticPr fontId="1"/>
  </si>
  <si>
    <t>大手社製ネットワーク機器・L2スイッチの導入・保守、PCベンダー社製サーバー・ストレージの導入・保守, 外国産製・国産サーバー保守
対象：一般企業（1月〜6月）→自治体（7月〜10月）</t>
    <rPh sb="0" eb="2">
      <t xml:space="preserve">オオテ </t>
    </rPh>
    <rPh sb="52" eb="55">
      <t xml:space="preserve">ガイコクサン </t>
    </rPh>
    <rPh sb="57" eb="59">
      <t xml:space="preserve">コクサン </t>
    </rPh>
    <rPh sb="66" eb="68">
      <t xml:space="preserve">タイショウ </t>
    </rPh>
    <rPh sb="69" eb="73">
      <t xml:space="preserve">イッパンキギョウ </t>
    </rPh>
    <rPh sb="81" eb="84">
      <t xml:space="preserve">ジチタイ </t>
    </rPh>
    <phoneticPr fontId="1"/>
  </si>
  <si>
    <t>中学生の頃からコンピュータに興味を持ち、大学生時代には、所属学部は違えども情報処理系のサークルに所属しておりました。当時、自分にとって珍しかったLinux（Unix）に触れ、Unix-Cなどの言語でゲームプログラミングを作ったりしていくうちに、将来はプログラマといったエンジニアになりたいと願い、就職活動を致しました。ただ、当時は思うような結果が得られず、まずはハードウェアの面から開発に携わろうと思い、派遣社員としてNEC府中事業場でLinuxサーバーのテスターとして勤めることにしました。そして、ようやくSEとして大手の下請けとして、当初は詳細設計の折衝、設計書作成業務等の職務から従事し、コーディングも担当しました）。SE未経験だったので現場では、常に金融の業務知識・SEとしての折衝技術だけでなくプログラミング知識を得る日々でした。その後、ミドルウェア開発会社のCMS（PHP）や同社HPの開発プロジェクトやシステム・バッチ業務（Java）、ブラウザソーシャルゲームのテスター業務（PHP5.4）などを経て、フリーランスエンジニアとして活動をはじめました。まず、Ansible(ver.2.3)によるサーバー（RHEL6.5）のリモートこの頃、関東からのコロナショックで案件が見つからなくなりました。PCキッティング業務を経て、ようやくフルリモートのクラウド案件に携わることになり、在宅でAWS（EC2）の構築プロジェクトに参画（構築はS3まで構築作業をやりました）しつつ、自宅に環境構築しつつAWS経験を積みました。業務上では、福岡で地元電力会社送配電サーバのアップグレード（RHEL6.9→7.5）、バッチの改良（Python3.9、Fw:Flask1.1.4）とオンプレミスのプロジェクトに入ったため、AWSは独学で続ける事になりました。そして、次のプロジェクトではついにAWS環境での商用のRedmine（Ver.4.2.x）及びRedmicaを販売・運用を行う会社で、AWS環境下でのRedmine運用サポート・自社プラグインのカスタマイズ作業に参画しました。
直近は大手求人サイト（クライアント企業）のコーポレートサイトの仮移環境の構築を行いました。対象：移築先（移築OS:RHEL8.1）の運用保守を担当しておりました。今後はオンプレミスサービスでの開発よりもAWSを伝ったシステムの作成を目指して頑張って行きます。
※注：２０２２年で短期間勤務が多い理由として、リモートワークの特徴で全国各地のメンバーで構築していたことで、居住地ごとに次々とコロナに感染し、上位会社によるメンバーの再編成やプロジェクトの再構築を試みつつもうまく行かず、無事であったプロジェクトを別チームに移譲したためです。
ちなみに私も２０２２年８月の全国的流行で感染して、８月は退職して治療にあたっていました。（その分、自宅でUdemyなどを使って勉強してました。）</t>
    <rPh sb="526" eb="528">
      <t xml:space="preserve">カントウ </t>
    </rPh>
    <rPh sb="938" eb="939">
      <t xml:space="preserve">イチク </t>
    </rPh>
    <rPh sb="1006" eb="1008">
      <t xml:space="preserve">メザシテｖ </t>
    </rPh>
    <rPh sb="1021" eb="1022">
      <t xml:space="preserve">チュウ </t>
    </rPh>
    <rPh sb="1023" eb="1024">
      <t>_x0000_У_x0002_</t>
    </rPh>
    <rPh sb="1029" eb="1032">
      <t>_x0006_в_x0001_
д_x0001_</t>
    </rPh>
    <rPh sb="1032" eb="1034">
      <t>_x000D_к_x0003__x0013_</t>
    </rPh>
    <rPh sb="1035" eb="1036">
      <t>н_x0002__x0017_р_x0001_"ѐ_x0002_(ѓ_x0004_</t>
    </rPh>
    <rPh sb="1051" eb="1053">
      <t>.ѝ_x0002_7ѧ_x0002_</t>
    </rPh>
    <rPh sb="1054" eb="1058">
      <t>@ѩ_x0001_Bѭ_x0001_</t>
    </rPh>
    <rPh sb="1064" eb="1066">
      <t>HѸ_x0004_T҄_x0003_\ҏ_x0003_</t>
    </rPh>
    <rPh sb="1074" eb="1076">
      <t>cғ_x0001_kҟ_x0002_rҬ_x0001_</t>
    </rPh>
    <rPh sb="1076" eb="1077">
      <t>yұ</t>
    </rPh>
    <rPh sb="1080" eb="1081">
      <t>_x0002_~ҿ_x0001_Ӊ</t>
    </rPh>
    <rPh sb="1091" eb="1095">
      <t>_x0005_ӏ_x0002_ӗ_x0002_ӛ_x0002_OӬ</t>
    </rPh>
    <rPh sb="1103" eb="1106">
      <t>_x0002__x0000__x0000__x0000__x0000__x0000__x0000__x0000_</t>
    </rPh>
    <rPh sb="1114" eb="1117">
      <t>_x0000__x0000__x0000__x0000__x0000__x0000__x0000_</t>
    </rPh>
    <rPh sb="1118" eb="1119">
      <t>_x0000__x0000__x0000__x0000__x0000__x0000__x0000__x0000_</t>
    </rPh>
    <rPh sb="1130" eb="1132">
      <t>_x0000__x0000__x0000__x0000__x0000__x0000__x0000_</t>
    </rPh>
    <rPh sb="1143" eb="1144">
      <t>_x0000__x0000__x0000__x0000__x0000__x0000__x0000_</t>
    </rPh>
    <rPh sb="1148" eb="1150">
      <t>_x0000__x0000__x0000__x0000__x0000_</t>
    </rPh>
    <rPh sb="1162" eb="1163">
      <t>_x0000__x0000__x0000__x0000__x0000_</t>
    </rPh>
    <rPh sb="1172" eb="1177">
      <t>_x0000__x0000__x0000__x0000__x0000__x0000__x0000__x0000__x0000__x0000__x0000__x0000_</t>
    </rPh>
    <rPh sb="1178" eb="1180">
      <t>_x0000__x0000__x0000__x0000__x0000__x0000__x0000_</t>
    </rPh>
    <rPh sb="1186" eb="1188">
      <t>_x0000__x0000__x0000__x0000__x0000__x0000__x0000_</t>
    </rPh>
    <rPh sb="1190" eb="1192">
      <t/>
    </rPh>
    <rPh sb="1207" eb="1209">
      <t/>
    </rPh>
    <phoneticPr fontId="1"/>
  </si>
  <si>
    <t>コーダー</t>
    <phoneticPr fontId="1"/>
  </si>
  <si>
    <t>RHEL6搭載サーバーのカスタマーサポート（一次受け）
大手仮想化製品のオペレーション対応（一次・二次受け）</t>
    <rPh sb="5" eb="7">
      <t xml:space="preserve">トウサイ </t>
    </rPh>
    <rPh sb="22" eb="24">
      <t xml:space="preserve">イチジウケ </t>
    </rPh>
    <rPh sb="24" eb="25">
      <t>ウケ</t>
    </rPh>
    <rPh sb="28" eb="30">
      <t xml:space="preserve">オオテ </t>
    </rPh>
    <rPh sb="30" eb="33">
      <t xml:space="preserve">カソウカ </t>
    </rPh>
    <rPh sb="33" eb="35">
      <t xml:space="preserve">セイヒン </t>
    </rPh>
    <rPh sb="43" eb="45">
      <t xml:space="preserve">タイオウ </t>
    </rPh>
    <rPh sb="46" eb="48">
      <t xml:space="preserve">１ジ・２ジ </t>
    </rPh>
    <rPh sb="51" eb="52">
      <t xml:space="preserve">ウケ </t>
    </rPh>
    <phoneticPr fontId="1"/>
  </si>
  <si>
    <t>AmazonLinux2（個人用AWS環境OS）</t>
    <rPh sb="13" eb="16">
      <t>kojinnyouAWS</t>
    </rPh>
    <rPh sb="19" eb="21">
      <t xml:space="preserve">カンキョウ </t>
    </rPh>
    <phoneticPr fontId="1"/>
  </si>
  <si>
    <t>AmazonLinux2022
（新規導入OS）</t>
    <rPh sb="16" eb="20">
      <t>sinnkidounyuuOS</t>
    </rPh>
    <phoneticPr fontId="1"/>
  </si>
  <si>
    <t>PHP5.x（テストケースの作成・実施）
 同7.x→8.0（バッチ作成程度）
  WordPress5.9（XAMPPのPHP8.0でコーポレートサイトの構築）
RedHatEnterpriseLinux（rpm系）3.x→6.x（コールセンターのQA対応に使用）
　同7.5（サーバ構築〜運用保守）
CentOS3.x、4.x（サーバー評価に使用）
Cent0S7.5（検証環境用にVirtualboxにインストール）
Ansible2.3（設計〜運用保守）：京都・埼玉のDC設置サーバ（各30台）へ各種データ移行・インストール（数値の設定等は現地のメンバーが実施）
VmwareWorkstation（カスタマーサポートで実施）
AWS
　EC2・IAM）（設計〜運用保守）
　S3（基本設計〜構築）
Bash・Zsh（シェル構文の構築作業）
Python3.9.x（Fw:Flask1.1.4、サーバ起動・ログ取得などバッチのリメイク）
RoR4.2.x（Redmine・Redmica環境構築→カスタマーサポート環境に実用）
Ruby2.6.x（Redmine構築→カスタマーサポート環境に実用）
Redmine/Redmica(カスタマーツールを作成)
MySQL5.7（Ansibleによるサーバインストールに使用）
　同8.0（Redmine・Redmica環境構築・運用→カスタマーサポートに実用）
PostgreSQL9.x（Ansibleによるサーバインストールに使用）
　同10.0（Redmine・Redmica環境構築・運用→カスタマーサポートに実用）</t>
    <rPh sb="17" eb="19">
      <t xml:space="preserve">ジッシ </t>
    </rPh>
    <rPh sb="22" eb="23">
      <t xml:space="preserve">ドウ </t>
    </rPh>
    <rPh sb="32" eb="34">
      <t xml:space="preserve">サクセイ </t>
    </rPh>
    <rPh sb="34" eb="36">
      <t xml:space="preserve">テイド </t>
    </rPh>
    <rPh sb="124" eb="126">
      <t xml:space="preserve">タイオウ </t>
    </rPh>
    <rPh sb="135" eb="136">
      <t xml:space="preserve">ドウ </t>
    </rPh>
    <rPh sb="170" eb="174">
      <t xml:space="preserve">ケンショウカンキョウ </t>
    </rPh>
    <rPh sb="199" eb="200">
      <t xml:space="preserve">ドウ </t>
    </rPh>
    <rPh sb="216" eb="217">
      <t xml:space="preserve">セッケイ </t>
    </rPh>
    <rPh sb="218" eb="220">
      <t xml:space="preserve">ウンヨウ </t>
    </rPh>
    <rPh sb="220" eb="222">
      <t xml:space="preserve">ホシュ </t>
    </rPh>
    <rPh sb="228" eb="230">
      <t xml:space="preserve">キョウト </t>
    </rPh>
    <rPh sb="231" eb="233">
      <t xml:space="preserve">サイタマ </t>
    </rPh>
    <rPh sb="236" eb="238">
      <t xml:space="preserve">セッチサーバ </t>
    </rPh>
    <rPh sb="242" eb="243">
      <t xml:space="preserve">カク３０ダイ </t>
    </rPh>
    <rPh sb="248" eb="250">
      <t xml:space="preserve">カクシュ </t>
    </rPh>
    <rPh sb="263" eb="265">
      <t xml:space="preserve">スウチ </t>
    </rPh>
    <rPh sb="266" eb="268">
      <t xml:space="preserve">セッテイハ </t>
    </rPh>
    <rPh sb="268" eb="269">
      <t xml:space="preserve">トウ </t>
    </rPh>
    <rPh sb="270" eb="272">
      <t xml:space="preserve">ゲンチ </t>
    </rPh>
    <rPh sb="323" eb="324">
      <t xml:space="preserve">セッケイ </t>
    </rPh>
    <rPh sb="325" eb="329">
      <t xml:space="preserve">ウンヨウホシュ </t>
    </rPh>
    <rPh sb="343" eb="347">
      <t xml:space="preserve">キホンセッケイ〜 </t>
    </rPh>
    <rPh sb="348" eb="350">
      <t xml:space="preserve">コウチク </t>
    </rPh>
    <rPh sb="352" eb="354">
      <t xml:space="preserve">コウチク </t>
    </rPh>
    <rPh sb="358" eb="360">
      <t xml:space="preserve">サギョウ </t>
    </rPh>
    <rPh sb="397" eb="399">
      <t xml:space="preserve">キドウ </t>
    </rPh>
    <rPh sb="436" eb="438">
      <t xml:space="preserve">カンキョウ </t>
    </rPh>
    <rPh sb="438" eb="440">
      <t xml:space="preserve">コウチク </t>
    </rPh>
    <rPh sb="451" eb="453">
      <t xml:space="preserve">ジツヨウ </t>
    </rPh>
    <rPh sb="461" eb="463">
      <t xml:space="preserve">カンキョウ </t>
    </rPh>
    <rPh sb="474" eb="476">
      <t xml:space="preserve">コウチク </t>
    </rPh>
    <rPh sb="497" eb="499">
      <t xml:space="preserve">カンキョウ </t>
    </rPh>
    <rPh sb="533" eb="538">
      <t xml:space="preserve">コウチクウンヨウ </t>
    </rPh>
    <rPh sb="554" eb="555">
      <t xml:space="preserve">ドウ </t>
    </rPh>
    <rPh sb="605" eb="607">
      <t xml:space="preserve">カンキョウ </t>
    </rPh>
    <rPh sb="610" eb="613">
      <t xml:space="preserve">コウチクウンヨウ </t>
    </rPh>
    <rPh sb="635" eb="636">
      <t xml:space="preserve">ドウ </t>
    </rPh>
    <phoneticPr fontId="1"/>
  </si>
  <si>
    <t>【A】業務の独力遂行。業務課題発見・解決。後進教育 【B】業務の独力遂行 【C】業務を上位者指導のもと遂行 【D】（実務・独学などによる）学習</t>
    <rPh sb="58" eb="60">
      <t>ジツム</t>
    </rPh>
    <rPh sb="61" eb="63">
      <t xml:space="preserve">ドクガク </t>
    </rPh>
    <rPh sb="69" eb="71">
      <t>ガクシュウ</t>
    </rPh>
    <phoneticPr fontId="1"/>
  </si>
  <si>
    <t>heroku</t>
    <phoneticPr fontId="1"/>
  </si>
  <si>
    <t>Ruby on Rails7</t>
    <phoneticPr fontId="1"/>
  </si>
  <si>
    <t>大手求人企業HPのバックエンド運用/保守及び環境移設に伴う同社コーポレートサイト環境の構築・動作テスト</t>
    <rPh sb="0" eb="4">
      <t xml:space="preserve">オオテキュウジン </t>
    </rPh>
    <rPh sb="4" eb="6">
      <t xml:space="preserve">キギョウ </t>
    </rPh>
    <rPh sb="15" eb="17">
      <t xml:space="preserve">ウンヨウ・ホシュ </t>
    </rPh>
    <rPh sb="20" eb="21">
      <t xml:space="preserve">オヨビ </t>
    </rPh>
    <rPh sb="22" eb="24">
      <t xml:space="preserve">カンキョウ </t>
    </rPh>
    <rPh sb="24" eb="26">
      <t xml:space="preserve">イセツニトモナウ </t>
    </rPh>
    <rPh sb="29" eb="31">
      <t xml:space="preserve">ドウシャ </t>
    </rPh>
    <rPh sb="40" eb="42">
      <t xml:space="preserve">カンキョウノコウチク </t>
    </rPh>
    <rPh sb="46" eb="48">
      <t xml:space="preserve">ドウサ </t>
    </rPh>
    <phoneticPr fontId="1"/>
  </si>
  <si>
    <t xml:space="preserve">・リモートツールSplashTopに仮想環境Amazonworkspace（OS：Windows10）を導入し、各求人企業のドメイン等の諸情報の整備・データ整理
求人サイト会社の新コーポレートサイトを個人端末にダミー環境（tool:WordPress5.9.2）の構築・UIチェック・レビュー																			</t>
    <rPh sb="18" eb="22">
      <t>カソウカン</t>
    </rPh>
    <rPh sb="52" eb="53">
      <t xml:space="preserve">ドウニュウ </t>
    </rPh>
    <rPh sb="66" eb="67">
      <t xml:space="preserve">ナド </t>
    </rPh>
    <rPh sb="68" eb="71">
      <t xml:space="preserve">ショジョウホウ </t>
    </rPh>
    <rPh sb="89" eb="90">
      <t xml:space="preserve">シン </t>
    </rPh>
    <rPh sb="100" eb="104">
      <t xml:space="preserve">コジンタンマツニ </t>
    </rPh>
    <phoneticPr fontId="1"/>
  </si>
  <si>
    <t>・新規AWS環境（OS:AmazonLinux2022）の動作確認のため（当時AL2022がリリースされていなかった）、Virtualboxに「LAMP」として疑似環境（ベースとなっているFedora35）で環境構築し、サーバー・DB等ミドルウェアの導入・構築・運用テスト、調査作業
注：フルリモートのチーム（５名）でまずリーダーがコロナ感染し、関東圏のメンバーが次々と感染し、当方一人残って調査不可になり、「１ヶ月更新」の４回目で契約終了</t>
    <rPh sb="1" eb="3">
      <t xml:space="preserve">シンキ </t>
    </rPh>
    <rPh sb="6" eb="8">
      <t xml:space="preserve">シンキカンキョウ </t>
    </rPh>
    <rPh sb="37" eb="39">
      <t xml:space="preserve">トウジ </t>
    </rPh>
    <rPh sb="80" eb="82">
      <t xml:space="preserve">ギジ </t>
    </rPh>
    <rPh sb="82" eb="84">
      <t xml:space="preserve">モギカンキョウ </t>
    </rPh>
    <rPh sb="104" eb="106">
      <t xml:space="preserve">カンキョウ </t>
    </rPh>
    <rPh sb="117" eb="118">
      <t xml:space="preserve">トウ </t>
    </rPh>
    <rPh sb="125" eb="127">
      <t xml:space="preserve">ドウニュウ </t>
    </rPh>
    <rPh sb="128" eb="130">
      <t xml:space="preserve">コウチク </t>
    </rPh>
    <rPh sb="131" eb="133">
      <t xml:space="preserve">ウンヨウテスト </t>
    </rPh>
    <rPh sb="137" eb="139">
      <t xml:space="preserve">チョウサ </t>
    </rPh>
    <rPh sb="139" eb="141">
      <t xml:space="preserve">サギョウ </t>
    </rPh>
    <rPh sb="142" eb="143">
      <t xml:space="preserve">チュウ： </t>
    </rPh>
    <rPh sb="169" eb="171">
      <t xml:space="preserve">カンセンシ </t>
    </rPh>
    <rPh sb="173" eb="176">
      <t xml:space="preserve">カントウケン </t>
    </rPh>
    <rPh sb="182" eb="183">
      <t xml:space="preserve">ツギツギト </t>
    </rPh>
    <rPh sb="185" eb="187">
      <t xml:space="preserve">カンセンシ、 </t>
    </rPh>
    <rPh sb="189" eb="191">
      <t xml:space="preserve">トウホウ </t>
    </rPh>
    <rPh sb="191" eb="194">
      <t xml:space="preserve">ヒトリノコッテ </t>
    </rPh>
    <rPh sb="196" eb="200">
      <t xml:space="preserve">チョウサフカ </t>
    </rPh>
    <phoneticPr fontId="1"/>
  </si>
  <si>
    <t>注：フルリモートのチーム（５名）でまずリーダーがコロナ感染し、関東圏のメンバーが次々と感染し、当方一人残って調査不可になり、「１ヶ月更新」の４回目で契約終了</t>
    <phoneticPr fontId="1"/>
  </si>
  <si>
    <t>注：上位会社の雇用体系が変わったため、短期で契約満了</t>
    <rPh sb="0" eb="1">
      <t xml:space="preserve">チュウ </t>
    </rPh>
    <rPh sb="7" eb="11">
      <t>コヨウタイ</t>
    </rPh>
    <rPh sb="12" eb="13">
      <t xml:space="preserve">カワッタタメ、 </t>
    </rPh>
    <rPh sb="19" eb="21">
      <t xml:space="preserve">タンキデ </t>
    </rPh>
    <rPh sb="22" eb="26">
      <t>ケイヤクマン</t>
    </rPh>
    <phoneticPr fontId="1"/>
  </si>
  <si>
    <t>注：S３環境の設計・構築作業を行っていたが、スケジュールの７０％程度完成していた時に、
４名チーム内でコロナが蔓延し、福岡在住の当方以外感染。残りを別チームに移管してチームが解散</t>
    <phoneticPr fontId="1"/>
  </si>
  <si>
    <t>＿</t>
    <phoneticPr fontId="1"/>
  </si>
  <si>
    <t>地元電力会社の送電業務システムサーバの運用・保守及び
サーバの一部稼働停止に伴う移管作業（福岡勤務）</t>
    <rPh sb="45" eb="47">
      <t xml:space="preserve">フクオカ </t>
    </rPh>
    <rPh sb="47" eb="49">
      <t xml:space="preserve">キンム </t>
    </rPh>
    <phoneticPr fontId="1"/>
  </si>
  <si>
    <t>注：フルリモートのチーム（3名）で2関東圏のメンバー（2名）が次々と感染し、
当方一人残ってチーム運用が不可能になり契約終了</t>
    <rPh sb="49" eb="51">
      <t xml:space="preserve">ウンヨウ </t>
    </rPh>
    <phoneticPr fontId="1"/>
  </si>
  <si>
    <t>Dynamo DB MySQL2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</si>
</sst>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176" formatCode="yyyy/mm"/>
    <numFmt numFmtId="177" formatCode="General&quot;ヶ月&quot;"/>
    <numFmt numFmtId="178" formatCode="yyyy"/>
    <numFmt numFmtId="179" formatCode="yyyy/mm/dd"/>
  </numFmts>
  <fonts count="28">
    <font>
      <sz val="12"/>
      <color indexed="8"/>
      <name val="Verdana"/>
    </font>
    <font>
      <sz val="6"/>
      <name val="Verdana"/>
      <family val="2"/>
    </font>
    <font>
      <u/>
      <sz val="12"/>
      <color theme="10"/>
      <name val="Verdana"/>
      <family val="2"/>
    </font>
    <font>
      <u/>
      <sz val="12"/>
      <color theme="11"/>
      <name val="Verdana"/>
      <family val="2"/>
    </font>
    <font>
      <sz val="6"/>
      <name val="ＭＳ Ｐゴシック"/>
      <family val="3"/>
      <charset val="128"/>
    </font>
    <font>
      <sz val="12"/>
      <color indexed="8"/>
      <name val="Verdana"/>
      <family val="2"/>
    </font>
    <font>
      <sz val="12"/>
      <color indexed="8"/>
      <name val="メイリオ"/>
      <family val="3"/>
      <charset val="128"/>
    </font>
    <font>
      <sz val="36"/>
      <color indexed="8"/>
      <name val="メイリオ"/>
      <family val="3"/>
      <charset val="128"/>
    </font>
    <font>
      <sz val="11"/>
      <color indexed="8"/>
      <name val="メイリオ"/>
      <family val="3"/>
      <charset val="128"/>
    </font>
    <font>
      <sz val="10"/>
      <color indexed="8"/>
      <name val="メイリオ"/>
      <family val="3"/>
      <charset val="128"/>
    </font>
    <font>
      <b/>
      <sz val="10"/>
      <color indexed="8"/>
      <name val="メイリオ"/>
      <family val="3"/>
      <charset val="128"/>
    </font>
    <font>
      <b/>
      <sz val="9"/>
      <color indexed="8"/>
      <name val="メイリオ"/>
      <family val="3"/>
      <charset val="128"/>
    </font>
    <font>
      <sz val="9"/>
      <color indexed="8"/>
      <name val="メイリオ"/>
      <family val="3"/>
      <charset val="128"/>
    </font>
    <font>
      <b/>
      <sz val="8"/>
      <color indexed="8"/>
      <name val="メイリオ"/>
      <family val="3"/>
      <charset val="128"/>
    </font>
    <font>
      <sz val="8"/>
      <color indexed="8"/>
      <name val="メイリオ"/>
      <family val="3"/>
      <charset val="128"/>
    </font>
    <font>
      <b/>
      <sz val="6"/>
      <color indexed="8"/>
      <name val="メイリオ"/>
      <family val="3"/>
      <charset val="128"/>
    </font>
    <font>
      <u/>
      <sz val="8"/>
      <color indexed="8"/>
      <name val="メイリオ"/>
      <family val="3"/>
      <charset val="128"/>
    </font>
    <font>
      <sz val="9"/>
      <name val="メイリオ"/>
      <family val="3"/>
      <charset val="128"/>
    </font>
    <font>
      <sz val="9"/>
      <color rgb="FFFF0000"/>
      <name val="メイリオ"/>
      <family val="3"/>
      <charset val="128"/>
    </font>
    <font>
      <b/>
      <sz val="9"/>
      <name val="メイリオ"/>
      <family val="3"/>
      <charset val="128"/>
    </font>
    <font>
      <sz val="9"/>
      <color theme="1"/>
      <name val="メイリオ"/>
      <family val="2"/>
      <charset val="128"/>
    </font>
    <font>
      <b/>
      <sz val="9"/>
      <color indexed="8"/>
      <name val="メイリオ"/>
      <family val="2"/>
      <charset val="128"/>
    </font>
    <font>
      <sz val="9"/>
      <color rgb="FF000000"/>
      <name val="メイリオ"/>
      <family val="2"/>
      <charset val="128"/>
    </font>
    <font>
      <sz val="12"/>
      <color indexed="8"/>
      <name val="Verdana"/>
      <family val="2"/>
    </font>
    <font>
      <b/>
      <sz val="9"/>
      <name val="メイリオ"/>
      <family val="2"/>
      <charset val="128"/>
    </font>
    <font>
      <sz val="9"/>
      <name val="メイリオ"/>
      <family val="2"/>
      <charset val="128"/>
    </font>
    <font>
      <sz val="9"/>
      <color indexed="8"/>
      <name val="メイリオ"/>
      <family val="2"/>
      <charset val="128"/>
    </font>
    <font>
      <sz val="10"/>
      <color rgb="FF333333"/>
      <name val="ＭＳ Ｐゴシック"/>
      <family val="2"/>
      <charset val="128"/>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s>
  <borders count="127">
    <border>
      <left/>
      <right/>
      <top/>
      <bottom/>
      <diagonal/>
    </border>
    <border>
      <left style="thin">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right style="hair">
        <color indexed="8"/>
      </right>
      <top style="hair">
        <color indexed="8"/>
      </top>
      <bottom style="thin">
        <color indexed="8"/>
      </bottom>
      <diagonal/>
    </border>
    <border>
      <left/>
      <right/>
      <top style="hair">
        <color indexed="8"/>
      </top>
      <bottom style="hair">
        <color indexed="8"/>
      </bottom>
      <diagonal/>
    </border>
    <border>
      <left style="thin">
        <color indexed="8"/>
      </left>
      <right/>
      <top/>
      <bottom/>
      <diagonal/>
    </border>
    <border>
      <left/>
      <right style="thin">
        <color indexed="8"/>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indexed="8"/>
      </bottom>
      <diagonal/>
    </border>
    <border>
      <left/>
      <right style="thin">
        <color indexed="8"/>
      </right>
      <top style="thin">
        <color auto="1"/>
      </top>
      <bottom style="thin">
        <color auto="1"/>
      </bottom>
      <diagonal/>
    </border>
    <border>
      <left/>
      <right style="thin">
        <color auto="1"/>
      </right>
      <top style="hair">
        <color indexed="8"/>
      </top>
      <bottom style="thin">
        <color indexed="8"/>
      </bottom>
      <diagonal/>
    </border>
    <border>
      <left/>
      <right/>
      <top style="hair">
        <color auto="1"/>
      </top>
      <bottom style="thin">
        <color auto="1"/>
      </bottom>
      <diagonal/>
    </border>
    <border>
      <left style="thin">
        <color auto="1"/>
      </left>
      <right/>
      <top style="hair">
        <color indexed="8"/>
      </top>
      <bottom style="thin">
        <color indexed="8"/>
      </bottom>
      <diagonal/>
    </border>
    <border>
      <left style="hair">
        <color indexed="8"/>
      </left>
      <right/>
      <top style="hair">
        <color indexed="8"/>
      </top>
      <bottom style="thin">
        <color indexed="8"/>
      </bottom>
      <diagonal/>
    </border>
    <border>
      <left style="thin">
        <color auto="1"/>
      </left>
      <right/>
      <top style="hair">
        <color indexed="8"/>
      </top>
      <bottom style="thin">
        <color auto="1"/>
      </bottom>
      <diagonal/>
    </border>
    <border>
      <left style="hair">
        <color indexed="8"/>
      </left>
      <right/>
      <top style="hair">
        <color indexed="8"/>
      </top>
      <bottom style="thin">
        <color auto="1"/>
      </bottom>
      <diagonal/>
    </border>
    <border>
      <left/>
      <right style="hair">
        <color indexed="8"/>
      </right>
      <top style="hair">
        <color indexed="8"/>
      </top>
      <bottom style="thin">
        <color auto="1"/>
      </bottom>
      <diagonal/>
    </border>
    <border>
      <left/>
      <right style="hair">
        <color auto="1"/>
      </right>
      <top style="hair">
        <color indexed="8"/>
      </top>
      <bottom style="thin">
        <color indexed="8"/>
      </bottom>
      <diagonal/>
    </border>
    <border>
      <left/>
      <right style="hair">
        <color auto="1"/>
      </right>
      <top style="thin">
        <color auto="1"/>
      </top>
      <bottom/>
      <diagonal/>
    </border>
    <border>
      <left/>
      <right style="hair">
        <color auto="1"/>
      </right>
      <top/>
      <bottom style="thin">
        <color auto="1"/>
      </bottom>
      <diagonal/>
    </border>
    <border>
      <left/>
      <right style="thin">
        <color auto="1"/>
      </right>
      <top/>
      <bottom style="thin">
        <color indexed="8"/>
      </bottom>
      <diagonal/>
    </border>
    <border>
      <left style="thin">
        <color auto="1"/>
      </left>
      <right/>
      <top style="hair">
        <color auto="1"/>
      </top>
      <bottom style="thin">
        <color auto="1"/>
      </bottom>
      <diagonal/>
    </border>
    <border>
      <left/>
      <right style="thin">
        <color indexed="8"/>
      </right>
      <top style="hair">
        <color auto="1"/>
      </top>
      <bottom style="thin">
        <color auto="1"/>
      </bottom>
      <diagonal/>
    </border>
    <border>
      <left/>
      <right style="thin">
        <color auto="1"/>
      </right>
      <top style="hair">
        <color indexed="8"/>
      </top>
      <bottom style="thin">
        <color auto="1"/>
      </bottom>
      <diagonal/>
    </border>
    <border>
      <left style="hair">
        <color indexed="8"/>
      </left>
      <right/>
      <top style="hair">
        <color indexed="8"/>
      </top>
      <bottom/>
      <diagonal/>
    </border>
    <border>
      <left/>
      <right style="hair">
        <color indexed="8"/>
      </right>
      <top style="hair">
        <color indexed="8"/>
      </top>
      <bottom/>
      <diagonal/>
    </border>
    <border>
      <left style="hair">
        <color indexed="8"/>
      </left>
      <right/>
      <top/>
      <bottom style="thin">
        <color indexed="8"/>
      </bottom>
      <diagonal/>
    </border>
    <border>
      <left/>
      <right style="hair">
        <color indexed="8"/>
      </right>
      <top/>
      <bottom style="thin">
        <color indexed="8"/>
      </bottom>
      <diagonal/>
    </border>
    <border>
      <left style="hair">
        <color indexed="8"/>
      </left>
      <right/>
      <top/>
      <bottom/>
      <diagonal/>
    </border>
    <border>
      <left/>
      <right style="hair">
        <color indexed="8"/>
      </right>
      <top/>
      <bottom/>
      <diagonal/>
    </border>
    <border>
      <left style="thin">
        <color auto="1"/>
      </left>
      <right/>
      <top/>
      <bottom style="thin">
        <color auto="1"/>
      </bottom>
      <diagonal/>
    </border>
    <border>
      <left style="thin">
        <color indexed="9"/>
      </left>
      <right style="thin">
        <color indexed="9"/>
      </right>
      <top/>
      <bottom/>
      <diagonal/>
    </border>
    <border>
      <left style="thin">
        <color indexed="9"/>
      </left>
      <right/>
      <top/>
      <bottom/>
      <diagonal/>
    </border>
    <border>
      <left/>
      <right/>
      <top style="hair">
        <color indexed="8"/>
      </top>
      <bottom/>
      <diagonal/>
    </border>
    <border>
      <left style="hair">
        <color auto="1"/>
      </left>
      <right/>
      <top style="thin">
        <color theme="1"/>
      </top>
      <bottom style="thin">
        <color auto="1"/>
      </bottom>
      <diagonal/>
    </border>
    <border>
      <left/>
      <right/>
      <top style="thin">
        <color theme="1"/>
      </top>
      <bottom style="thin">
        <color auto="1"/>
      </bottom>
      <diagonal/>
    </border>
    <border>
      <left/>
      <right style="thin">
        <color auto="1"/>
      </right>
      <top style="thin">
        <color theme="1"/>
      </top>
      <bottom style="thin">
        <color auto="1"/>
      </bottom>
      <diagonal/>
    </border>
    <border>
      <left style="hair">
        <color theme="1"/>
      </left>
      <right/>
      <top style="thin">
        <color theme="1"/>
      </top>
      <bottom style="thin">
        <color auto="1"/>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right style="hair">
        <color theme="1"/>
      </right>
      <top style="thin">
        <color theme="1"/>
      </top>
      <bottom style="thin">
        <color auto="1"/>
      </bottom>
      <diagonal/>
    </border>
    <border>
      <left/>
      <right style="thin">
        <color indexed="8"/>
      </right>
      <top style="hair">
        <color indexed="8"/>
      </top>
      <bottom/>
      <diagonal/>
    </border>
    <border>
      <left style="thin">
        <color indexed="8"/>
      </left>
      <right/>
      <top style="hair">
        <color indexed="8"/>
      </top>
      <bottom/>
      <diagonal/>
    </border>
    <border>
      <left style="thin">
        <color indexed="8"/>
      </left>
      <right/>
      <top/>
      <bottom style="hair">
        <color indexed="8"/>
      </bottom>
      <diagonal/>
    </border>
    <border>
      <left/>
      <right/>
      <top/>
      <bottom style="hair">
        <color indexed="8"/>
      </bottom>
      <diagonal/>
    </border>
    <border>
      <left/>
      <right style="thin">
        <color indexed="8"/>
      </right>
      <top/>
      <bottom style="hair">
        <color indexed="8"/>
      </bottom>
      <diagonal/>
    </border>
    <border>
      <left style="hair">
        <color theme="1"/>
      </left>
      <right/>
      <top style="thin">
        <color theme="1"/>
      </top>
      <bottom style="thin">
        <color theme="1"/>
      </bottom>
      <diagonal/>
    </border>
    <border>
      <left/>
      <right/>
      <top style="thin">
        <color theme="1"/>
      </top>
      <bottom style="thin">
        <color theme="1"/>
      </bottom>
      <diagonal/>
    </border>
    <border>
      <left/>
      <right style="thin">
        <color auto="1"/>
      </right>
      <top style="thin">
        <color theme="1"/>
      </top>
      <bottom style="thin">
        <color theme="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top/>
      <bottom style="thin">
        <color auto="1"/>
      </bottom>
      <diagonal/>
    </border>
    <border>
      <left/>
      <right/>
      <top/>
      <bottom style="thin">
        <color auto="1"/>
      </bottom>
      <diagonal/>
    </border>
    <border>
      <left/>
      <right style="thin">
        <color auto="1"/>
      </right>
      <top/>
      <bottom style="thin">
        <color auto="1"/>
      </bottom>
      <diagonal/>
    </border>
    <border>
      <left/>
      <right style="thin">
        <color indexed="8"/>
      </right>
      <top/>
      <bottom style="thin">
        <color auto="1"/>
      </bottom>
      <diagonal/>
    </border>
    <border>
      <left style="thin">
        <color indexed="8"/>
      </left>
      <right/>
      <top style="hair">
        <color indexed="8"/>
      </top>
      <bottom style="thin">
        <color auto="1"/>
      </bottom>
      <diagonal/>
    </border>
    <border>
      <left/>
      <right/>
      <top style="hair">
        <color indexed="8"/>
      </top>
      <bottom style="thin">
        <color auto="1"/>
      </bottom>
      <diagonal/>
    </border>
    <border>
      <left/>
      <right style="thin">
        <color indexed="8"/>
      </right>
      <top style="hair">
        <color indexed="8"/>
      </top>
      <bottom style="thin">
        <color auto="1"/>
      </bottom>
      <diagonal/>
    </border>
    <border>
      <left style="hair">
        <color indexed="8"/>
      </left>
      <right/>
      <top/>
      <bottom style="thin">
        <color auto="1"/>
      </bottom>
      <diagonal/>
    </border>
    <border>
      <left/>
      <right style="hair">
        <color indexed="8"/>
      </right>
      <top/>
      <bottom style="thin">
        <color auto="1"/>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auto="1"/>
      </left>
      <right/>
      <top/>
      <bottom/>
      <diagonal/>
    </border>
    <border>
      <left/>
      <right/>
      <top style="hair">
        <color auto="1"/>
      </top>
      <bottom/>
      <diagonal/>
    </border>
    <border>
      <left/>
      <right style="thin">
        <color indexed="8"/>
      </right>
      <top style="hair">
        <color auto="1"/>
      </top>
      <bottom/>
      <diagonal/>
    </border>
    <border>
      <left style="hair">
        <color indexed="8"/>
      </left>
      <right/>
      <top style="thin">
        <color auto="1"/>
      </top>
      <bottom/>
      <diagonal/>
    </border>
    <border>
      <left/>
      <right style="thin">
        <color indexed="8"/>
      </right>
      <top style="thin">
        <color auto="1"/>
      </top>
      <bottom/>
      <diagonal/>
    </border>
    <border>
      <left/>
      <right style="hair">
        <color indexed="8"/>
      </right>
      <top style="thin">
        <color auto="1"/>
      </top>
      <bottom/>
      <diagonal/>
    </border>
    <border>
      <left style="thin">
        <color indexed="8"/>
      </left>
      <right/>
      <top style="thin">
        <color auto="1"/>
      </top>
      <bottom/>
      <diagonal/>
    </border>
    <border>
      <left style="thin">
        <color indexed="8"/>
      </left>
      <right style="thin">
        <color indexed="9"/>
      </right>
      <top style="thin">
        <color indexed="8"/>
      </top>
      <bottom style="hair">
        <color indexed="8"/>
      </bottom>
      <diagonal/>
    </border>
    <border>
      <left style="thin">
        <color indexed="9"/>
      </left>
      <right style="thin">
        <color indexed="9"/>
      </right>
      <top style="thin">
        <color indexed="8"/>
      </top>
      <bottom style="hair">
        <color indexed="8"/>
      </bottom>
      <diagonal/>
    </border>
    <border>
      <left style="thin">
        <color indexed="9"/>
      </left>
      <right style="thin">
        <color indexed="8"/>
      </right>
      <top style="thin">
        <color indexed="8"/>
      </top>
      <bottom style="hair">
        <color indexed="8"/>
      </bottom>
      <diagonal/>
    </border>
    <border>
      <left style="thin">
        <color auto="1"/>
      </left>
      <right/>
      <top style="thin">
        <color auto="1"/>
      </top>
      <bottom style="hair">
        <color indexed="8"/>
      </bottom>
      <diagonal/>
    </border>
    <border>
      <left/>
      <right/>
      <top style="thin">
        <color auto="1"/>
      </top>
      <bottom style="hair">
        <color indexed="8"/>
      </bottom>
      <diagonal/>
    </border>
    <border>
      <left/>
      <right style="thin">
        <color auto="1"/>
      </right>
      <top style="thin">
        <color auto="1"/>
      </top>
      <bottom style="hair">
        <color indexed="8"/>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hair">
        <color theme="1"/>
      </right>
      <top style="thin">
        <color auto="1"/>
      </top>
      <bottom style="thin">
        <color auto="1"/>
      </bottom>
      <diagonal/>
    </border>
    <border>
      <left style="thin">
        <color auto="1"/>
      </left>
      <right/>
      <top style="thin">
        <color indexed="8"/>
      </top>
      <bottom/>
      <diagonal/>
    </border>
    <border>
      <left/>
      <right/>
      <top style="thin">
        <color indexed="8"/>
      </top>
      <bottom/>
      <diagonal/>
    </border>
    <border>
      <left/>
      <right style="thin">
        <color indexed="9"/>
      </right>
      <top style="thin">
        <color indexed="8"/>
      </top>
      <bottom/>
      <diagonal/>
    </border>
    <border>
      <left style="thin">
        <color indexed="9"/>
      </left>
      <right style="thin">
        <color indexed="9"/>
      </right>
      <top style="thin">
        <color indexed="8"/>
      </top>
      <bottom/>
      <diagonal/>
    </border>
    <border>
      <left/>
      <right style="thin">
        <color indexed="8"/>
      </right>
      <top style="thin">
        <color indexed="8"/>
      </top>
      <bottom/>
      <diagonal/>
    </border>
    <border>
      <left style="thin">
        <color indexed="8"/>
      </left>
      <right/>
      <top style="thin">
        <color indexed="8"/>
      </top>
      <bottom/>
      <diagonal/>
    </border>
    <border>
      <left/>
      <right style="thin">
        <color auto="1"/>
      </right>
      <top style="thin">
        <color indexed="8"/>
      </top>
      <bottom/>
      <diagonal/>
    </border>
    <border>
      <left style="thin">
        <color indexed="8"/>
      </left>
      <right/>
      <top style="thin">
        <color indexed="8"/>
      </top>
      <bottom style="hair">
        <color indexed="8"/>
      </bottom>
      <diagonal/>
    </border>
    <border>
      <left/>
      <right/>
      <top style="thin">
        <color indexed="8"/>
      </top>
      <bottom style="hair">
        <color indexed="8"/>
      </bottom>
      <diagonal/>
    </border>
    <border>
      <left/>
      <right style="thin">
        <color indexed="8"/>
      </right>
      <top style="thin">
        <color indexed="8"/>
      </top>
      <bottom style="hair">
        <color indexed="8"/>
      </bottom>
      <diagonal/>
    </border>
    <border>
      <left style="thin">
        <color auto="1"/>
      </left>
      <right style="thin">
        <color indexed="9"/>
      </right>
      <top style="thin">
        <color indexed="8"/>
      </top>
      <bottom style="thin">
        <color indexed="9"/>
      </bottom>
      <diagonal/>
    </border>
    <border>
      <left style="thin">
        <color indexed="9"/>
      </left>
      <right style="hair">
        <color indexed="8"/>
      </right>
      <top style="thin">
        <color indexed="8"/>
      </top>
      <bottom style="thin">
        <color indexed="9"/>
      </bottom>
      <diagonal/>
    </border>
    <border>
      <left/>
      <right style="thin">
        <color indexed="8"/>
      </right>
      <top style="thin">
        <color auto="1"/>
      </top>
      <bottom style="hair">
        <color auto="1"/>
      </bottom>
      <diagonal/>
    </border>
    <border>
      <left style="thin">
        <color indexed="8"/>
      </left>
      <right style="thin">
        <color indexed="9"/>
      </right>
      <top style="thin">
        <color indexed="8"/>
      </top>
      <bottom style="thin">
        <color indexed="9"/>
      </bottom>
      <diagonal/>
    </border>
    <border>
      <left style="hair">
        <color indexed="8"/>
      </left>
      <right style="thin">
        <color indexed="9"/>
      </right>
      <top style="thin">
        <color indexed="8"/>
      </top>
      <bottom style="thin">
        <color indexed="9"/>
      </bottom>
      <diagonal/>
    </border>
    <border>
      <left style="hair">
        <color indexed="8"/>
      </left>
      <right/>
      <top style="thin">
        <color indexed="8"/>
      </top>
      <bottom/>
      <diagonal/>
    </border>
    <border>
      <left/>
      <right style="hair">
        <color indexed="8"/>
      </right>
      <top style="thin">
        <color indexed="8"/>
      </top>
      <bottom/>
      <diagonal/>
    </border>
    <border>
      <left style="thin">
        <color indexed="9"/>
      </left>
      <right style="thin">
        <color indexed="8"/>
      </right>
      <top style="thin">
        <color indexed="8"/>
      </top>
      <bottom style="thin">
        <color indexed="9"/>
      </bottom>
      <diagonal/>
    </border>
    <border>
      <left style="thin">
        <color auto="1"/>
      </left>
      <right style="thin">
        <color indexed="9"/>
      </right>
      <top style="thin">
        <color indexed="9"/>
      </top>
      <bottom style="thin">
        <color indexed="9"/>
      </bottom>
      <diagonal/>
    </border>
    <border>
      <left style="thin">
        <color indexed="9"/>
      </left>
      <right style="hair">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hair">
        <color indexed="8"/>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auto="1"/>
      </left>
      <right style="thin">
        <color indexed="9"/>
      </right>
      <top style="thin">
        <color indexed="9"/>
      </top>
      <bottom style="thin">
        <color auto="1"/>
      </bottom>
      <diagonal/>
    </border>
    <border>
      <left style="thin">
        <color indexed="9"/>
      </left>
      <right style="hair">
        <color indexed="8"/>
      </right>
      <top style="thin">
        <color indexed="9"/>
      </top>
      <bottom style="thin">
        <color auto="1"/>
      </bottom>
      <diagonal/>
    </border>
    <border>
      <left style="thin">
        <color indexed="8"/>
      </left>
      <right style="thin">
        <color indexed="9"/>
      </right>
      <top style="thin">
        <color indexed="9"/>
      </top>
      <bottom style="thin">
        <color auto="1"/>
      </bottom>
      <diagonal/>
    </border>
    <border>
      <left style="hair">
        <color indexed="8"/>
      </left>
      <right style="thin">
        <color indexed="9"/>
      </right>
      <top style="thin">
        <color indexed="9"/>
      </top>
      <bottom style="thin">
        <color auto="1"/>
      </bottom>
      <diagonal/>
    </border>
    <border>
      <left style="thin">
        <color indexed="9"/>
      </left>
      <right style="thin">
        <color indexed="8"/>
      </right>
      <top style="thin">
        <color indexed="9"/>
      </top>
      <bottom style="thin">
        <color auto="1"/>
      </bottom>
      <diagonal/>
    </border>
    <border>
      <left style="thin">
        <color indexed="8"/>
      </left>
      <right/>
      <top style="thin">
        <color auto="1"/>
      </top>
      <bottom style="hair">
        <color indexed="8"/>
      </bottom>
      <diagonal/>
    </border>
    <border>
      <left/>
      <right style="thin">
        <color indexed="8"/>
      </right>
      <top style="thin">
        <color auto="1"/>
      </top>
      <bottom style="hair">
        <color indexed="8"/>
      </bottom>
      <diagonal/>
    </border>
    <border>
      <left style="thin">
        <color indexed="8"/>
      </left>
      <right/>
      <top style="thin">
        <color auto="1"/>
      </top>
      <bottom style="thin">
        <color auto="1"/>
      </bottom>
      <diagonal/>
    </border>
    <border>
      <left/>
      <right style="hair">
        <color indexed="8"/>
      </right>
      <top style="thin">
        <color auto="1"/>
      </top>
      <bottom style="thin">
        <color auto="1"/>
      </bottom>
      <diagonal/>
    </border>
    <border>
      <left style="hair">
        <color indexed="8"/>
      </left>
      <right/>
      <top style="thin">
        <color auto="1"/>
      </top>
      <bottom style="thin">
        <color auto="1"/>
      </bottom>
      <diagonal/>
    </border>
    <border>
      <left/>
      <right style="thin">
        <color rgb="FF000000"/>
      </right>
      <top style="thin">
        <color indexed="64"/>
      </top>
      <bottom style="thin">
        <color indexed="64"/>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dotted">
        <color indexed="64"/>
      </top>
      <bottom style="hair">
        <color indexed="8"/>
      </bottom>
      <diagonal/>
    </border>
    <border>
      <left/>
      <right/>
      <top style="dotted">
        <color indexed="64"/>
      </top>
      <bottom style="hair">
        <color indexed="8"/>
      </bottom>
      <diagonal/>
    </border>
    <border>
      <left/>
      <right style="thin">
        <color indexed="8"/>
      </right>
      <top style="dotted">
        <color indexed="64"/>
      </top>
      <bottom style="hair">
        <color indexed="8"/>
      </bottom>
      <diagonal/>
    </border>
  </borders>
  <cellStyleXfs count="355">
    <xf numFmtId="0" fontId="0" fillId="0" borderId="0" applyNumberFormat="0" applyFill="0" applyBorder="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2" fillId="0" borderId="0" applyNumberFormat="0" applyFill="0" applyBorder="0" applyAlignment="0" applyProtection="0">
      <alignment vertical="top" wrapText="1"/>
    </xf>
    <xf numFmtId="0" fontId="3" fillId="0" borderId="0" applyNumberFormat="0" applyFill="0" applyBorder="0" applyAlignment="0" applyProtection="0">
      <alignment vertical="top" wrapText="1"/>
    </xf>
    <xf numFmtId="0" fontId="5" fillId="0" borderId="0" applyNumberFormat="0" applyFill="0" applyBorder="0" applyProtection="0">
      <alignment vertical="top" wrapText="1"/>
    </xf>
    <xf numFmtId="6" fontId="23" fillId="0" borderId="0" applyFont="0" applyFill="0" applyBorder="0" applyAlignment="0" applyProtection="0">
      <alignment vertical="center"/>
    </xf>
  </cellStyleXfs>
  <cellXfs count="382">
    <xf numFmtId="0" fontId="0" fillId="0" borderId="0" xfId="0">
      <alignment vertical="top" wrapText="1"/>
    </xf>
    <xf numFmtId="49" fontId="6" fillId="0" borderId="0" xfId="0" applyNumberFormat="1" applyFont="1">
      <alignment vertical="top" wrapText="1"/>
    </xf>
    <xf numFmtId="49" fontId="8" fillId="0" borderId="0" xfId="0" applyNumberFormat="1" applyFont="1" applyAlignment="1">
      <alignment vertical="center"/>
    </xf>
    <xf numFmtId="49" fontId="9" fillId="0" borderId="0" xfId="0" applyNumberFormat="1" applyFont="1" applyBorder="1" applyAlignment="1">
      <alignment vertical="center"/>
    </xf>
    <xf numFmtId="49" fontId="9" fillId="0" borderId="0" xfId="0" applyNumberFormat="1" applyFont="1" applyFill="1" applyBorder="1" applyAlignment="1">
      <alignment vertical="center" wrapText="1"/>
    </xf>
    <xf numFmtId="179" fontId="8" fillId="0" borderId="0" xfId="0" applyNumberFormat="1" applyFont="1" applyAlignment="1">
      <alignment vertical="center"/>
    </xf>
    <xf numFmtId="49" fontId="12" fillId="0" borderId="0" xfId="0" applyNumberFormat="1" applyFont="1" applyFill="1" applyBorder="1" applyAlignment="1">
      <alignment horizontal="center" vertical="center"/>
    </xf>
    <xf numFmtId="49" fontId="12" fillId="0" borderId="0" xfId="0" applyNumberFormat="1" applyFont="1" applyFill="1" applyBorder="1" applyAlignment="1">
      <alignment horizontal="left" vertical="center"/>
    </xf>
    <xf numFmtId="49" fontId="12" fillId="0" borderId="0" xfId="0" applyNumberFormat="1" applyFont="1" applyBorder="1" applyAlignment="1">
      <alignment horizontal="left" vertical="center"/>
    </xf>
    <xf numFmtId="49" fontId="12" fillId="0" borderId="0" xfId="0" applyNumberFormat="1" applyFont="1" applyBorder="1" applyAlignment="1">
      <alignment horizontal="center" vertical="center"/>
    </xf>
    <xf numFmtId="49" fontId="12" fillId="0" borderId="0" xfId="0" applyNumberFormat="1" applyFont="1" applyBorder="1" applyAlignment="1">
      <alignment horizontal="center" vertical="center" wrapText="1"/>
    </xf>
    <xf numFmtId="49" fontId="12" fillId="0" borderId="0" xfId="0" applyNumberFormat="1" applyFont="1" applyBorder="1" applyAlignment="1">
      <alignment horizontal="left" vertical="top" wrapText="1"/>
    </xf>
    <xf numFmtId="49" fontId="12" fillId="0" borderId="0" xfId="0" applyNumberFormat="1" applyFont="1" applyBorder="1" applyAlignment="1">
      <alignment vertical="center" wrapText="1"/>
    </xf>
    <xf numFmtId="49" fontId="12" fillId="0" borderId="0" xfId="0" applyNumberFormat="1" applyFont="1" applyBorder="1" applyAlignment="1">
      <alignment vertical="center"/>
    </xf>
    <xf numFmtId="49" fontId="14" fillId="0" borderId="0" xfId="0" applyNumberFormat="1" applyFont="1" applyBorder="1" applyAlignment="1">
      <alignment horizontal="center" vertical="center" wrapText="1"/>
    </xf>
    <xf numFmtId="49" fontId="14" fillId="0" borderId="0" xfId="0" applyNumberFormat="1" applyFont="1" applyBorder="1" applyAlignment="1">
      <alignment horizontal="left" vertical="center"/>
    </xf>
    <xf numFmtId="49" fontId="12" fillId="0" borderId="0" xfId="0" applyNumberFormat="1" applyFont="1" applyFill="1" applyBorder="1" applyAlignment="1">
      <alignment vertical="center"/>
    </xf>
    <xf numFmtId="49" fontId="12" fillId="0" borderId="0" xfId="0" applyNumberFormat="1" applyFont="1" applyFill="1" applyBorder="1" applyAlignment="1">
      <alignment vertical="center" textRotation="255"/>
    </xf>
    <xf numFmtId="49" fontId="12" fillId="0" borderId="0" xfId="0" applyNumberFormat="1" applyFont="1">
      <alignment vertical="top" wrapText="1"/>
    </xf>
    <xf numFmtId="49" fontId="12" fillId="0" borderId="0" xfId="0" applyNumberFormat="1" applyFont="1" applyAlignment="1">
      <alignment vertical="center"/>
    </xf>
    <xf numFmtId="49" fontId="12" fillId="0" borderId="55" xfId="0" applyNumberFormat="1" applyFont="1" applyFill="1" applyBorder="1" applyAlignment="1">
      <alignment horizontal="left" vertical="center"/>
    </xf>
    <xf numFmtId="49" fontId="12" fillId="0" borderId="56" xfId="0" applyNumberFormat="1" applyFont="1" applyFill="1" applyBorder="1" applyAlignment="1">
      <alignment horizontal="left" vertical="center"/>
    </xf>
    <xf numFmtId="49" fontId="12" fillId="0" borderId="63" xfId="0" applyNumberFormat="1" applyFont="1" applyFill="1" applyBorder="1" applyAlignment="1">
      <alignment horizontal="left" vertical="center"/>
    </xf>
    <xf numFmtId="49" fontId="17" fillId="0" borderId="53" xfId="0" applyNumberFormat="1" applyFont="1" applyFill="1" applyBorder="1" applyAlignment="1">
      <alignment horizontal="left" vertical="center"/>
    </xf>
    <xf numFmtId="49" fontId="17" fillId="0" borderId="53" xfId="0" applyNumberFormat="1" applyFont="1" applyFill="1" applyBorder="1" applyAlignment="1">
      <alignment vertical="center"/>
    </xf>
    <xf numFmtId="49" fontId="17" fillId="0" borderId="53" xfId="353" applyNumberFormat="1" applyFont="1" applyFill="1" applyBorder="1" applyAlignment="1">
      <alignment horizontal="left" vertical="center"/>
    </xf>
    <xf numFmtId="0" fontId="17" fillId="0" borderId="53" xfId="0" applyFont="1" applyBorder="1" applyAlignment="1">
      <alignment horizontal="left" vertical="center"/>
    </xf>
    <xf numFmtId="49" fontId="19" fillId="2" borderId="53" xfId="0" applyNumberFormat="1" applyFont="1" applyFill="1" applyBorder="1" applyAlignment="1">
      <alignment horizontal="left" vertical="center"/>
    </xf>
    <xf numFmtId="49" fontId="19" fillId="2" borderId="13" xfId="0" applyNumberFormat="1" applyFont="1" applyFill="1" applyBorder="1" applyAlignment="1">
      <alignment horizontal="left" vertical="center"/>
    </xf>
    <xf numFmtId="49" fontId="19" fillId="2" borderId="53" xfId="353" applyNumberFormat="1" applyFont="1" applyFill="1" applyBorder="1" applyAlignment="1">
      <alignment horizontal="left" vertical="center"/>
    </xf>
    <xf numFmtId="49" fontId="19" fillId="2" borderId="54" xfId="353" applyNumberFormat="1" applyFont="1" applyFill="1" applyBorder="1" applyAlignment="1">
      <alignment horizontal="left" vertical="center"/>
    </xf>
    <xf numFmtId="49" fontId="9" fillId="0" borderId="65" xfId="0" applyNumberFormat="1" applyFont="1" applyFill="1" applyBorder="1" applyAlignment="1">
      <alignment vertical="center" wrapText="1"/>
    </xf>
    <xf numFmtId="49" fontId="11" fillId="2" borderId="94" xfId="0" applyNumberFormat="1" applyFont="1" applyFill="1" applyBorder="1" applyAlignment="1">
      <alignment vertical="center"/>
    </xf>
    <xf numFmtId="49" fontId="11" fillId="2" borderId="95" xfId="0" applyNumberFormat="1" applyFont="1" applyFill="1" applyBorder="1" applyAlignment="1">
      <alignment vertical="center"/>
    </xf>
    <xf numFmtId="49" fontId="11" fillId="2" borderId="96" xfId="0" applyNumberFormat="1" applyFont="1" applyFill="1" applyBorder="1" applyAlignment="1">
      <alignment vertical="center"/>
    </xf>
    <xf numFmtId="49" fontId="17" fillId="0" borderId="117" xfId="0" applyNumberFormat="1" applyFont="1" applyFill="1" applyBorder="1" applyAlignment="1">
      <alignment horizontal="left" vertical="center"/>
    </xf>
    <xf numFmtId="49" fontId="17" fillId="0" borderId="118" xfId="0" applyNumberFormat="1" applyFont="1" applyFill="1" applyBorder="1" applyAlignment="1">
      <alignment horizontal="left" vertical="center"/>
    </xf>
    <xf numFmtId="49" fontId="17" fillId="0" borderId="83" xfId="353" applyNumberFormat="1" applyFont="1" applyFill="1" applyBorder="1" applyAlignment="1">
      <alignment horizontal="left" vertical="center"/>
    </xf>
    <xf numFmtId="49" fontId="17" fillId="0" borderId="118" xfId="353" applyNumberFormat="1" applyFont="1" applyFill="1" applyBorder="1" applyAlignment="1">
      <alignment horizontal="left" vertical="center"/>
    </xf>
    <xf numFmtId="49" fontId="17" fillId="0" borderId="83" xfId="0" applyNumberFormat="1" applyFont="1" applyFill="1" applyBorder="1" applyAlignment="1">
      <alignment vertical="center"/>
    </xf>
    <xf numFmtId="49" fontId="17" fillId="0" borderId="118" xfId="0" applyNumberFormat="1" applyFont="1" applyFill="1" applyBorder="1" applyAlignment="1">
      <alignment vertical="center"/>
    </xf>
    <xf numFmtId="0" fontId="17" fillId="0" borderId="118" xfId="0" applyFont="1" applyBorder="1" applyAlignment="1">
      <alignment horizontal="left" vertical="center"/>
    </xf>
    <xf numFmtId="49" fontId="19" fillId="2" borderId="117" xfId="0" applyNumberFormat="1" applyFont="1" applyFill="1" applyBorder="1" applyAlignment="1">
      <alignment horizontal="left" vertical="center"/>
    </xf>
    <xf numFmtId="49" fontId="17" fillId="0" borderId="117" xfId="0" applyNumberFormat="1" applyFont="1" applyFill="1" applyBorder="1" applyAlignment="1">
      <alignment vertical="center"/>
    </xf>
    <xf numFmtId="49" fontId="19" fillId="2" borderId="83" xfId="353" applyNumberFormat="1" applyFont="1" applyFill="1" applyBorder="1" applyAlignment="1">
      <alignment horizontal="left" vertical="center"/>
    </xf>
    <xf numFmtId="49" fontId="8" fillId="0" borderId="0" xfId="0" applyNumberFormat="1" applyFont="1" applyAlignment="1">
      <alignment vertical="center" wrapText="1"/>
    </xf>
    <xf numFmtId="0" fontId="27" fillId="0" borderId="0" xfId="0" applyFont="1" applyAlignment="1">
      <alignment vertical="center" wrapText="1"/>
    </xf>
    <xf numFmtId="49" fontId="12" fillId="3" borderId="42" xfId="0" applyNumberFormat="1" applyFont="1" applyFill="1" applyBorder="1" applyAlignment="1">
      <alignment horizontal="left" vertical="center"/>
    </xf>
    <xf numFmtId="49" fontId="12" fillId="3" borderId="5" xfId="0" applyNumberFormat="1" applyFont="1" applyFill="1" applyBorder="1" applyAlignment="1">
      <alignment horizontal="left" vertical="center"/>
    </xf>
    <xf numFmtId="49" fontId="12" fillId="3" borderId="43" xfId="0" applyNumberFormat="1" applyFont="1" applyFill="1" applyBorder="1" applyAlignment="1">
      <alignment horizontal="left" vertical="center"/>
    </xf>
    <xf numFmtId="49" fontId="8" fillId="0" borderId="0" xfId="0" applyNumberFormat="1" applyFont="1" applyAlignment="1">
      <alignment horizontal="left" vertical="top" wrapText="1"/>
    </xf>
    <xf numFmtId="49" fontId="11" fillId="2" borderId="97" xfId="0" applyNumberFormat="1" applyFont="1" applyFill="1" applyBorder="1" applyAlignment="1">
      <alignment horizontal="center" vertical="center"/>
    </xf>
    <xf numFmtId="49" fontId="11" fillId="2" borderId="98" xfId="0" applyNumberFormat="1" applyFont="1" applyFill="1" applyBorder="1" applyAlignment="1">
      <alignment horizontal="center" vertical="center"/>
    </xf>
    <xf numFmtId="49" fontId="11" fillId="2" borderId="105" xfId="0" applyNumberFormat="1" applyFont="1" applyFill="1" applyBorder="1" applyAlignment="1">
      <alignment horizontal="center" vertical="center"/>
    </xf>
    <xf numFmtId="49" fontId="11" fillId="2" borderId="106" xfId="0" applyNumberFormat="1" applyFont="1" applyFill="1" applyBorder="1" applyAlignment="1">
      <alignment horizontal="center" vertical="center"/>
    </xf>
    <xf numFmtId="49" fontId="11" fillId="2" borderId="110" xfId="0" applyNumberFormat="1" applyFont="1" applyFill="1" applyBorder="1" applyAlignment="1">
      <alignment horizontal="center" vertical="center"/>
    </xf>
    <xf numFmtId="49" fontId="11" fillId="2" borderId="111" xfId="0" applyNumberFormat="1" applyFont="1" applyFill="1" applyBorder="1" applyAlignment="1">
      <alignment horizontal="center" vertical="center"/>
    </xf>
    <xf numFmtId="49" fontId="14" fillId="3" borderId="92" xfId="0" applyNumberFormat="1" applyFont="1" applyFill="1" applyBorder="1" applyAlignment="1">
      <alignment horizontal="right" vertical="center" wrapText="1"/>
    </xf>
    <xf numFmtId="49" fontId="14" fillId="3" borderId="88" xfId="0" applyNumberFormat="1" applyFont="1" applyFill="1" applyBorder="1" applyAlignment="1">
      <alignment horizontal="right" vertical="center" wrapText="1"/>
    </xf>
    <xf numFmtId="49" fontId="15" fillId="2" borderId="88" xfId="0" applyNumberFormat="1" applyFont="1" applyFill="1" applyBorder="1" applyAlignment="1">
      <alignment horizontal="center" vertical="center" wrapText="1"/>
    </xf>
    <xf numFmtId="49" fontId="14" fillId="3" borderId="88" xfId="0" applyNumberFormat="1" applyFont="1" applyFill="1" applyBorder="1" applyAlignment="1">
      <alignment horizontal="center" vertical="center"/>
    </xf>
    <xf numFmtId="49" fontId="15" fillId="2" borderId="93" xfId="0" applyNumberFormat="1" applyFont="1" applyFill="1" applyBorder="1" applyAlignment="1">
      <alignment horizontal="center" vertical="center" wrapText="1"/>
    </xf>
    <xf numFmtId="49" fontId="10" fillId="0" borderId="80" xfId="0" applyNumberFormat="1" applyFont="1" applyBorder="1" applyAlignment="1">
      <alignment horizontal="left" vertical="center" wrapText="1"/>
    </xf>
    <xf numFmtId="49" fontId="10" fillId="0" borderId="81" xfId="0" applyNumberFormat="1" applyFont="1" applyBorder="1" applyAlignment="1">
      <alignment horizontal="left" vertical="center"/>
    </xf>
    <xf numFmtId="49" fontId="10" fillId="0" borderId="99" xfId="0" applyNumberFormat="1" applyFont="1" applyBorder="1" applyAlignment="1">
      <alignment horizontal="left" vertical="center"/>
    </xf>
    <xf numFmtId="49" fontId="12" fillId="3" borderId="94" xfId="0" applyNumberFormat="1" applyFont="1" applyFill="1" applyBorder="1" applyAlignment="1">
      <alignment horizontal="left" vertical="center"/>
    </xf>
    <xf numFmtId="49" fontId="12" fillId="3" borderId="95" xfId="0" applyNumberFormat="1" applyFont="1" applyFill="1" applyBorder="1" applyAlignment="1">
      <alignment horizontal="left" vertical="center"/>
    </xf>
    <xf numFmtId="49" fontId="12" fillId="3" borderId="96" xfId="0" applyNumberFormat="1" applyFont="1" applyFill="1" applyBorder="1" applyAlignment="1">
      <alignment horizontal="left" vertical="center"/>
    </xf>
    <xf numFmtId="49" fontId="12" fillId="3" borderId="6" xfId="0" applyNumberFormat="1" applyFont="1" applyFill="1" applyBorder="1" applyAlignment="1">
      <alignment horizontal="center" vertical="center" wrapText="1"/>
    </xf>
    <xf numFmtId="49" fontId="12" fillId="3" borderId="0" xfId="0" applyNumberFormat="1" applyFont="1" applyFill="1" applyBorder="1" applyAlignment="1">
      <alignment horizontal="center" vertical="center" wrapText="1"/>
    </xf>
    <xf numFmtId="49" fontId="12" fillId="3" borderId="11" xfId="0" applyNumberFormat="1" applyFont="1" applyFill="1" applyBorder="1" applyAlignment="1">
      <alignment horizontal="center" vertical="center" wrapText="1"/>
    </xf>
    <xf numFmtId="177" fontId="13" fillId="3" borderId="6" xfId="0" applyNumberFormat="1" applyFont="1" applyFill="1" applyBorder="1" applyAlignment="1">
      <alignment horizontal="center" vertical="center"/>
    </xf>
    <xf numFmtId="177" fontId="13" fillId="3" borderId="0" xfId="0" applyNumberFormat="1" applyFont="1" applyFill="1" applyBorder="1" applyAlignment="1">
      <alignment horizontal="center" vertical="center"/>
    </xf>
    <xf numFmtId="177" fontId="13" fillId="3" borderId="7" xfId="0" applyNumberFormat="1" applyFont="1" applyFill="1" applyBorder="1" applyAlignment="1">
      <alignment horizontal="center" vertical="center"/>
    </xf>
    <xf numFmtId="49" fontId="12" fillId="0" borderId="6" xfId="0" applyNumberFormat="1" applyFont="1" applyBorder="1" applyAlignment="1">
      <alignment horizontal="left" vertical="center"/>
    </xf>
    <xf numFmtId="49" fontId="12" fillId="0" borderId="0" xfId="0" applyNumberFormat="1" applyFont="1" applyBorder="1" applyAlignment="1">
      <alignment horizontal="left" vertical="center"/>
    </xf>
    <xf numFmtId="49" fontId="12" fillId="0" borderId="7" xfId="0" applyNumberFormat="1" applyFont="1" applyBorder="1" applyAlignment="1">
      <alignment horizontal="left" vertical="center"/>
    </xf>
    <xf numFmtId="49" fontId="12" fillId="3" borderId="42" xfId="0" applyNumberFormat="1" applyFont="1" applyFill="1" applyBorder="1" applyAlignment="1">
      <alignment horizontal="left" vertical="center"/>
    </xf>
    <xf numFmtId="49" fontId="12" fillId="3" borderId="5" xfId="0" applyNumberFormat="1" applyFont="1" applyFill="1" applyBorder="1" applyAlignment="1">
      <alignment horizontal="left" vertical="center"/>
    </xf>
    <xf numFmtId="49" fontId="12" fillId="3" borderId="43" xfId="0" applyNumberFormat="1" applyFont="1" applyFill="1" applyBorder="1" applyAlignment="1">
      <alignment horizontal="left" vertical="center"/>
    </xf>
    <xf numFmtId="49" fontId="12" fillId="3" borderId="42" xfId="0" applyNumberFormat="1" applyFont="1" applyFill="1" applyBorder="1" applyAlignment="1">
      <alignment horizontal="left" vertical="center" wrapText="1"/>
    </xf>
    <xf numFmtId="49" fontId="12" fillId="3" borderId="5" xfId="0" applyNumberFormat="1" applyFont="1" applyFill="1" applyBorder="1" applyAlignment="1">
      <alignment horizontal="left" vertical="center" wrapText="1"/>
    </xf>
    <xf numFmtId="49" fontId="12" fillId="3" borderId="43" xfId="0" applyNumberFormat="1" applyFont="1" applyFill="1" applyBorder="1" applyAlignment="1">
      <alignment horizontal="left" vertical="center" wrapText="1"/>
    </xf>
    <xf numFmtId="49" fontId="11" fillId="2" borderId="6" xfId="0" applyNumberFormat="1" applyFont="1" applyFill="1" applyBorder="1" applyAlignment="1">
      <alignment horizontal="center" vertical="center" shrinkToFit="1"/>
    </xf>
    <xf numFmtId="49" fontId="11" fillId="2" borderId="0" xfId="0" applyNumberFormat="1" applyFont="1" applyFill="1" applyBorder="1" applyAlignment="1">
      <alignment horizontal="center" vertical="center" shrinkToFit="1"/>
    </xf>
    <xf numFmtId="49" fontId="11" fillId="2" borderId="7" xfId="0" applyNumberFormat="1" applyFont="1" applyFill="1" applyBorder="1" applyAlignment="1">
      <alignment horizontal="center" vertical="center" shrinkToFit="1"/>
    </xf>
    <xf numFmtId="0" fontId="14" fillId="3" borderId="55" xfId="0" applyNumberFormat="1" applyFont="1" applyFill="1" applyBorder="1" applyAlignment="1">
      <alignment horizontal="right" vertical="center" wrapText="1"/>
    </xf>
    <xf numFmtId="0" fontId="14" fillId="3" borderId="56" xfId="0" applyNumberFormat="1" applyFont="1" applyFill="1" applyBorder="1" applyAlignment="1">
      <alignment horizontal="right" vertical="center" wrapText="1"/>
    </xf>
    <xf numFmtId="176" fontId="15" fillId="2" borderId="56" xfId="0" applyNumberFormat="1" applyFont="1" applyFill="1" applyBorder="1" applyAlignment="1">
      <alignment horizontal="center" vertical="center" wrapText="1"/>
    </xf>
    <xf numFmtId="176" fontId="15" fillId="2" borderId="57" xfId="0" applyNumberFormat="1" applyFont="1" applyFill="1" applyBorder="1" applyAlignment="1">
      <alignment horizontal="center" vertical="center" wrapText="1"/>
    </xf>
    <xf numFmtId="49" fontId="12" fillId="0" borderId="55" xfId="0" applyNumberFormat="1" applyFont="1" applyBorder="1" applyAlignment="1">
      <alignment horizontal="left" vertical="center" wrapText="1"/>
    </xf>
    <xf numFmtId="49" fontId="12" fillId="0" borderId="56" xfId="0" applyNumberFormat="1" applyFont="1" applyBorder="1" applyAlignment="1">
      <alignment horizontal="left" vertical="center"/>
    </xf>
    <xf numFmtId="49" fontId="12" fillId="0" borderId="58" xfId="0" applyNumberFormat="1" applyFont="1" applyBorder="1" applyAlignment="1">
      <alignment horizontal="left" vertical="center"/>
    </xf>
    <xf numFmtId="49" fontId="12" fillId="3" borderId="59" xfId="0" applyNumberFormat="1" applyFont="1" applyFill="1" applyBorder="1" applyAlignment="1">
      <alignment horizontal="left" vertical="center"/>
    </xf>
    <xf numFmtId="49" fontId="12" fillId="3" borderId="60" xfId="0" applyNumberFormat="1" applyFont="1" applyFill="1" applyBorder="1" applyAlignment="1">
      <alignment horizontal="left" vertical="center"/>
    </xf>
    <xf numFmtId="49" fontId="12" fillId="3" borderId="61" xfId="0" applyNumberFormat="1" applyFont="1" applyFill="1" applyBorder="1" applyAlignment="1">
      <alignment horizontal="left" vertical="center"/>
    </xf>
    <xf numFmtId="49" fontId="12" fillId="3" borderId="59" xfId="0" applyNumberFormat="1" applyFont="1" applyFill="1" applyBorder="1" applyAlignment="1">
      <alignment horizontal="left" vertical="center" wrapText="1"/>
    </xf>
    <xf numFmtId="49" fontId="12" fillId="3" borderId="60" xfId="0" applyNumberFormat="1" applyFont="1" applyFill="1" applyBorder="1" applyAlignment="1">
      <alignment horizontal="left" vertical="center" wrapText="1"/>
    </xf>
    <xf numFmtId="49" fontId="12" fillId="3" borderId="61" xfId="0" applyNumberFormat="1" applyFont="1" applyFill="1" applyBorder="1" applyAlignment="1">
      <alignment horizontal="left" vertical="center" wrapText="1"/>
    </xf>
    <xf numFmtId="49" fontId="12" fillId="3" borderId="64" xfId="0" applyNumberFormat="1" applyFont="1" applyFill="1" applyBorder="1" applyAlignment="1">
      <alignment horizontal="center" vertical="center" shrinkToFit="1"/>
    </xf>
    <xf numFmtId="49" fontId="12" fillId="3" borderId="65" xfId="0" applyNumberFormat="1" applyFont="1" applyFill="1" applyBorder="1" applyAlignment="1">
      <alignment horizontal="center" vertical="center" shrinkToFit="1"/>
    </xf>
    <xf numFmtId="49" fontId="12" fillId="3" borderId="66" xfId="0" applyNumberFormat="1" applyFont="1" applyFill="1" applyBorder="1" applyAlignment="1">
      <alignment horizontal="center" vertical="center" shrinkToFit="1"/>
    </xf>
    <xf numFmtId="49" fontId="11" fillId="2" borderId="6" xfId="0" applyNumberFormat="1" applyFont="1" applyFill="1" applyBorder="1" applyAlignment="1">
      <alignment horizontal="center" vertical="center" wrapText="1" shrinkToFit="1"/>
    </xf>
    <xf numFmtId="49" fontId="12" fillId="3" borderId="100" xfId="0" applyNumberFormat="1" applyFont="1" applyFill="1" applyBorder="1" applyAlignment="1">
      <alignment horizontal="center" vertical="center" wrapText="1"/>
    </xf>
    <xf numFmtId="49" fontId="12" fillId="3" borderId="98" xfId="0" applyNumberFormat="1" applyFont="1" applyFill="1" applyBorder="1" applyAlignment="1">
      <alignment horizontal="center" vertical="center" wrapText="1"/>
    </xf>
    <xf numFmtId="49" fontId="12" fillId="3" borderId="107" xfId="0" applyNumberFormat="1" applyFont="1" applyFill="1" applyBorder="1" applyAlignment="1">
      <alignment horizontal="center" vertical="center" wrapText="1"/>
    </xf>
    <xf numFmtId="49" fontId="12" fillId="3" borderId="106" xfId="0" applyNumberFormat="1" applyFont="1" applyFill="1" applyBorder="1" applyAlignment="1">
      <alignment horizontal="center" vertical="center" wrapText="1"/>
    </xf>
    <xf numFmtId="49" fontId="12" fillId="3" borderId="112" xfId="0" applyNumberFormat="1" applyFont="1" applyFill="1" applyBorder="1" applyAlignment="1">
      <alignment horizontal="center" vertical="center" wrapText="1"/>
    </xf>
    <xf numFmtId="49" fontId="12" fillId="3" borderId="111" xfId="0" applyNumberFormat="1" applyFont="1" applyFill="1" applyBorder="1" applyAlignment="1">
      <alignment horizontal="center" vertical="center" wrapText="1"/>
    </xf>
    <xf numFmtId="49" fontId="12" fillId="3" borderId="101" xfId="0" applyNumberFormat="1" applyFont="1" applyFill="1" applyBorder="1" applyAlignment="1">
      <alignment horizontal="center" vertical="center" wrapText="1"/>
    </xf>
    <xf numFmtId="49" fontId="12" fillId="3" borderId="108" xfId="0" applyNumberFormat="1" applyFont="1" applyFill="1" applyBorder="1" applyAlignment="1">
      <alignment horizontal="center" vertical="center" wrapText="1"/>
    </xf>
    <xf numFmtId="49" fontId="12" fillId="3" borderId="113" xfId="0" applyNumberFormat="1" applyFont="1" applyFill="1" applyBorder="1" applyAlignment="1">
      <alignment horizontal="center" vertical="center" wrapText="1"/>
    </xf>
    <xf numFmtId="49" fontId="12" fillId="3" borderId="102" xfId="0" applyNumberFormat="1" applyFont="1" applyFill="1" applyBorder="1" applyAlignment="1">
      <alignment horizontal="center" vertical="center" wrapText="1"/>
    </xf>
    <xf numFmtId="49" fontId="12" fillId="3" borderId="103" xfId="0" applyNumberFormat="1" applyFont="1" applyFill="1" applyBorder="1" applyAlignment="1">
      <alignment horizontal="center" vertical="center" wrapText="1"/>
    </xf>
    <xf numFmtId="49" fontId="12" fillId="3" borderId="32" xfId="0" applyNumberFormat="1" applyFont="1" applyFill="1" applyBorder="1" applyAlignment="1">
      <alignment horizontal="center" vertical="center" wrapText="1"/>
    </xf>
    <xf numFmtId="49" fontId="12" fillId="3" borderId="33" xfId="0" applyNumberFormat="1" applyFont="1" applyFill="1" applyBorder="1" applyAlignment="1">
      <alignment horizontal="center" vertical="center" wrapText="1"/>
    </xf>
    <xf numFmtId="49" fontId="12" fillId="3" borderId="62" xfId="0" applyNumberFormat="1" applyFont="1" applyFill="1" applyBorder="1" applyAlignment="1">
      <alignment horizontal="center" vertical="center" wrapText="1"/>
    </xf>
    <xf numFmtId="49" fontId="12" fillId="3" borderId="63" xfId="0" applyNumberFormat="1" applyFont="1" applyFill="1" applyBorder="1" applyAlignment="1">
      <alignment horizontal="center" vertical="center" wrapText="1"/>
    </xf>
    <xf numFmtId="49" fontId="12" fillId="3" borderId="104" xfId="0" applyNumberFormat="1" applyFont="1" applyFill="1" applyBorder="1" applyAlignment="1">
      <alignment horizontal="center" vertical="center" wrapText="1"/>
    </xf>
    <xf numFmtId="49" fontId="12" fillId="3" borderId="109" xfId="0" applyNumberFormat="1" applyFont="1" applyFill="1" applyBorder="1" applyAlignment="1">
      <alignment horizontal="center" vertical="center" wrapText="1"/>
    </xf>
    <xf numFmtId="49" fontId="12" fillId="3" borderId="114" xfId="0" applyNumberFormat="1" applyFont="1" applyFill="1" applyBorder="1" applyAlignment="1">
      <alignment horizontal="center" vertical="center" wrapText="1"/>
    </xf>
    <xf numFmtId="49" fontId="14" fillId="3" borderId="6" xfId="0" applyNumberFormat="1" applyFont="1" applyFill="1" applyBorder="1" applyAlignment="1">
      <alignment horizontal="center" vertical="center" wrapText="1"/>
    </xf>
    <xf numFmtId="49" fontId="14" fillId="3" borderId="0" xfId="0" applyNumberFormat="1" applyFont="1" applyFill="1" applyBorder="1" applyAlignment="1">
      <alignment horizontal="center" vertical="center" wrapText="1"/>
    </xf>
    <xf numFmtId="49" fontId="14" fillId="3" borderId="7" xfId="0" applyNumberFormat="1" applyFont="1" applyFill="1" applyBorder="1" applyAlignment="1">
      <alignment horizontal="center" vertical="center" wrapText="1"/>
    </xf>
    <xf numFmtId="49" fontId="12" fillId="3" borderId="47" xfId="0" applyNumberFormat="1" applyFont="1" applyFill="1" applyBorder="1" applyAlignment="1">
      <alignment horizontal="center" vertical="center" shrinkToFit="1"/>
    </xf>
    <xf numFmtId="49" fontId="12" fillId="3" borderId="48" xfId="0" applyNumberFormat="1" applyFont="1" applyFill="1" applyBorder="1" applyAlignment="1">
      <alignment horizontal="center" vertical="center" shrinkToFit="1"/>
    </xf>
    <xf numFmtId="49" fontId="12" fillId="3" borderId="49" xfId="0" applyNumberFormat="1" applyFont="1" applyFill="1" applyBorder="1" applyAlignment="1">
      <alignment horizontal="center" vertical="center" shrinkToFit="1"/>
    </xf>
    <xf numFmtId="49" fontId="14" fillId="3" borderId="6" xfId="0" applyNumberFormat="1" applyFont="1" applyFill="1" applyBorder="1" applyAlignment="1">
      <alignment horizontal="right" vertical="center" wrapText="1"/>
    </xf>
    <xf numFmtId="49" fontId="14" fillId="3" borderId="0" xfId="0" applyNumberFormat="1" applyFont="1" applyFill="1" applyBorder="1" applyAlignment="1">
      <alignment horizontal="right" vertical="center" wrapText="1"/>
    </xf>
    <xf numFmtId="49" fontId="15" fillId="2" borderId="0" xfId="0" applyNumberFormat="1" applyFont="1" applyFill="1" applyBorder="1" applyAlignment="1">
      <alignment horizontal="center" vertical="center" wrapText="1"/>
    </xf>
    <xf numFmtId="49" fontId="14" fillId="3" borderId="0" xfId="0" applyNumberFormat="1" applyFont="1" applyFill="1" applyBorder="1" applyAlignment="1">
      <alignment horizontal="center" vertical="center"/>
    </xf>
    <xf numFmtId="49" fontId="15" fillId="2" borderId="11" xfId="0" applyNumberFormat="1" applyFont="1" applyFill="1" applyBorder="1" applyAlignment="1">
      <alignment horizontal="center" vertical="center" wrapText="1"/>
    </xf>
    <xf numFmtId="49" fontId="12" fillId="0" borderId="6" xfId="0" applyNumberFormat="1" applyFont="1" applyBorder="1" applyAlignment="1">
      <alignment horizontal="left" vertical="center" wrapText="1"/>
    </xf>
    <xf numFmtId="49" fontId="12" fillId="3" borderId="6" xfId="0" applyNumberFormat="1" applyFont="1" applyFill="1" applyBorder="1" applyAlignment="1">
      <alignment horizontal="center" vertical="center"/>
    </xf>
    <xf numFmtId="49" fontId="12" fillId="3" borderId="0" xfId="0" applyNumberFormat="1" applyFont="1" applyFill="1" applyBorder="1" applyAlignment="1">
      <alignment horizontal="center" vertical="center"/>
    </xf>
    <xf numFmtId="49" fontId="12" fillId="3" borderId="11" xfId="0" applyNumberFormat="1" applyFont="1" applyFill="1" applyBorder="1" applyAlignment="1">
      <alignment horizontal="center" vertical="center"/>
    </xf>
    <xf numFmtId="178" fontId="14" fillId="3" borderId="6" xfId="0" applyNumberFormat="1" applyFont="1" applyFill="1" applyBorder="1" applyAlignment="1">
      <alignment horizontal="center" vertical="center" wrapText="1"/>
    </xf>
    <xf numFmtId="178" fontId="14" fillId="3" borderId="0" xfId="0" applyNumberFormat="1" applyFont="1" applyFill="1" applyBorder="1" applyAlignment="1">
      <alignment horizontal="center" vertical="center" wrapText="1"/>
    </xf>
    <xf numFmtId="178" fontId="14" fillId="3" borderId="7" xfId="0" applyNumberFormat="1" applyFont="1" applyFill="1" applyBorder="1" applyAlignment="1">
      <alignment horizontal="center" vertical="center" wrapText="1"/>
    </xf>
    <xf numFmtId="49" fontId="11" fillId="2" borderId="8" xfId="0" applyNumberFormat="1" applyFont="1" applyFill="1" applyBorder="1" applyAlignment="1">
      <alignment horizontal="center" vertical="center"/>
    </xf>
    <xf numFmtId="49" fontId="11" fillId="2" borderId="71" xfId="0" applyNumberFormat="1" applyFont="1" applyFill="1" applyBorder="1" applyAlignment="1">
      <alignment horizontal="center" vertical="center"/>
    </xf>
    <xf numFmtId="49" fontId="11" fillId="2" borderId="67" xfId="0" applyNumberFormat="1" applyFont="1" applyFill="1" applyBorder="1" applyAlignment="1">
      <alignment horizontal="center" vertical="center"/>
    </xf>
    <xf numFmtId="49" fontId="11" fillId="2" borderId="7" xfId="0" applyNumberFormat="1" applyFont="1" applyFill="1" applyBorder="1" applyAlignment="1">
      <alignment horizontal="center" vertical="center"/>
    </xf>
    <xf numFmtId="49" fontId="11" fillId="2" borderId="34" xfId="0" applyNumberFormat="1" applyFont="1" applyFill="1" applyBorder="1" applyAlignment="1">
      <alignment horizontal="center" vertical="center"/>
    </xf>
    <xf numFmtId="49" fontId="11" fillId="2" borderId="58" xfId="0" applyNumberFormat="1" applyFont="1" applyFill="1" applyBorder="1" applyAlignment="1">
      <alignment horizontal="center" vertical="center"/>
    </xf>
    <xf numFmtId="49" fontId="14" fillId="3" borderId="73" xfId="0" applyNumberFormat="1" applyFont="1" applyFill="1" applyBorder="1" applyAlignment="1">
      <alignment horizontal="right" vertical="center" wrapText="1"/>
    </xf>
    <xf numFmtId="49" fontId="14" fillId="3" borderId="9" xfId="0" applyNumberFormat="1" applyFont="1" applyFill="1" applyBorder="1" applyAlignment="1">
      <alignment horizontal="right" vertical="center" wrapText="1"/>
    </xf>
    <xf numFmtId="49" fontId="15" fillId="2" borderId="9" xfId="0" applyNumberFormat="1" applyFont="1" applyFill="1" applyBorder="1" applyAlignment="1">
      <alignment horizontal="center" vertical="center" wrapText="1"/>
    </xf>
    <xf numFmtId="49" fontId="14" fillId="3" borderId="9" xfId="0" applyNumberFormat="1" applyFont="1" applyFill="1" applyBorder="1" applyAlignment="1">
      <alignment horizontal="center" vertical="center"/>
    </xf>
    <xf numFmtId="49" fontId="15" fillId="2" borderId="10" xfId="0" applyNumberFormat="1" applyFont="1" applyFill="1" applyBorder="1" applyAlignment="1">
      <alignment horizontal="center" vertical="center" wrapText="1"/>
    </xf>
    <xf numFmtId="49" fontId="10" fillId="0" borderId="80" xfId="0" applyNumberFormat="1" applyFont="1" applyBorder="1" applyAlignment="1">
      <alignment horizontal="left" vertical="center"/>
    </xf>
    <xf numFmtId="49" fontId="12" fillId="3" borderId="115" xfId="0" applyNumberFormat="1" applyFont="1" applyFill="1" applyBorder="1" applyAlignment="1">
      <alignment horizontal="left" vertical="center"/>
    </xf>
    <xf numFmtId="49" fontId="12" fillId="3" borderId="78" xfId="0" applyNumberFormat="1" applyFont="1" applyFill="1" applyBorder="1" applyAlignment="1">
      <alignment horizontal="left" vertical="center"/>
    </xf>
    <xf numFmtId="49" fontId="12" fillId="3" borderId="116" xfId="0" applyNumberFormat="1" applyFont="1" applyFill="1" applyBorder="1" applyAlignment="1">
      <alignment horizontal="left" vertical="center"/>
    </xf>
    <xf numFmtId="49" fontId="12" fillId="3" borderId="115" xfId="0" applyNumberFormat="1" applyFont="1" applyFill="1" applyBorder="1" applyAlignment="1">
      <alignment horizontal="left" vertical="center" wrapText="1"/>
    </xf>
    <xf numFmtId="49" fontId="12" fillId="3" borderId="78" xfId="0" applyNumberFormat="1" applyFont="1" applyFill="1" applyBorder="1" applyAlignment="1">
      <alignment horizontal="left" vertical="center" wrapText="1"/>
    </xf>
    <xf numFmtId="49" fontId="12" fillId="3" borderId="116" xfId="0" applyNumberFormat="1" applyFont="1" applyFill="1" applyBorder="1" applyAlignment="1">
      <alignment horizontal="left" vertical="center" wrapText="1"/>
    </xf>
    <xf numFmtId="49" fontId="12" fillId="0" borderId="68" xfId="0" applyNumberFormat="1" applyFont="1" applyBorder="1" applyAlignment="1">
      <alignment horizontal="left" vertical="top" wrapText="1"/>
    </xf>
    <xf numFmtId="49" fontId="12" fillId="0" borderId="68" xfId="0" applyNumberFormat="1" applyFont="1" applyBorder="1" applyAlignment="1">
      <alignment horizontal="left" vertical="top"/>
    </xf>
    <xf numFmtId="49" fontId="12" fillId="0" borderId="69" xfId="0" applyNumberFormat="1" applyFont="1" applyBorder="1" applyAlignment="1">
      <alignment horizontal="left" vertical="top"/>
    </xf>
    <xf numFmtId="49" fontId="12" fillId="0" borderId="0" xfId="0" applyNumberFormat="1" applyFont="1" applyBorder="1" applyAlignment="1">
      <alignment horizontal="left" vertical="top"/>
    </xf>
    <xf numFmtId="49" fontId="12" fillId="0" borderId="7" xfId="0" applyNumberFormat="1" applyFont="1" applyBorder="1" applyAlignment="1">
      <alignment horizontal="left" vertical="top"/>
    </xf>
    <xf numFmtId="49" fontId="12" fillId="0" borderId="34" xfId="0" applyNumberFormat="1" applyFont="1" applyBorder="1" applyAlignment="1">
      <alignment horizontal="left" vertical="center" wrapText="1"/>
    </xf>
    <xf numFmtId="49" fontId="12" fillId="3" borderId="94" xfId="0" applyNumberFormat="1" applyFont="1" applyFill="1" applyBorder="1" applyAlignment="1">
      <alignment horizontal="left" vertical="center" wrapText="1"/>
    </xf>
    <xf numFmtId="49" fontId="12" fillId="3" borderId="95" xfId="0" applyNumberFormat="1" applyFont="1" applyFill="1" applyBorder="1" applyAlignment="1">
      <alignment horizontal="left" vertical="center" wrapText="1"/>
    </xf>
    <xf numFmtId="49" fontId="12" fillId="3" borderId="96" xfId="0" applyNumberFormat="1" applyFont="1" applyFill="1" applyBorder="1" applyAlignment="1">
      <alignment horizontal="left" vertical="center" wrapText="1"/>
    </xf>
    <xf numFmtId="49" fontId="12" fillId="0" borderId="55" xfId="0" applyNumberFormat="1" applyFont="1" applyBorder="1" applyAlignment="1">
      <alignment horizontal="left" vertical="center"/>
    </xf>
    <xf numFmtId="49" fontId="12" fillId="3" borderId="73" xfId="0" applyNumberFormat="1" applyFont="1" applyFill="1" applyBorder="1" applyAlignment="1">
      <alignment horizontal="center" vertical="center" wrapText="1"/>
    </xf>
    <xf numFmtId="49" fontId="12" fillId="3" borderId="72" xfId="0" applyNumberFormat="1" applyFont="1" applyFill="1" applyBorder="1" applyAlignment="1">
      <alignment horizontal="center" vertical="center" wrapText="1"/>
    </xf>
    <xf numFmtId="49" fontId="12" fillId="3" borderId="55" xfId="0" applyNumberFormat="1" applyFont="1" applyFill="1" applyBorder="1" applyAlignment="1">
      <alignment horizontal="center" vertical="center" wrapText="1"/>
    </xf>
    <xf numFmtId="49" fontId="12" fillId="3" borderId="70" xfId="0" applyNumberFormat="1" applyFont="1" applyFill="1" applyBorder="1" applyAlignment="1">
      <alignment horizontal="center" vertical="center" wrapText="1"/>
    </xf>
    <xf numFmtId="49" fontId="12" fillId="3" borderId="46" xfId="0" applyNumberFormat="1" applyFont="1" applyFill="1" applyBorder="1" applyAlignment="1">
      <alignment horizontal="center" vertical="center"/>
    </xf>
    <xf numFmtId="49" fontId="12" fillId="3" borderId="37" xfId="0" applyNumberFormat="1" applyFont="1" applyFill="1" applyBorder="1" applyAlignment="1">
      <alignment horizontal="center" vertical="center"/>
    </xf>
    <xf numFmtId="49" fontId="12" fillId="3" borderId="45" xfId="0" applyNumberFormat="1" applyFont="1" applyFill="1" applyBorder="1" applyAlignment="1">
      <alignment horizontal="center" vertical="center"/>
    </xf>
    <xf numFmtId="49" fontId="11" fillId="2" borderId="92" xfId="0" applyNumberFormat="1" applyFont="1" applyFill="1" applyBorder="1" applyAlignment="1">
      <alignment horizontal="center" vertical="center" wrapText="1" shrinkToFit="1"/>
    </xf>
    <xf numFmtId="49" fontId="11" fillId="2" borderId="88" xfId="0" applyNumberFormat="1" applyFont="1" applyFill="1" applyBorder="1" applyAlignment="1">
      <alignment horizontal="center" vertical="center" wrapText="1" shrinkToFit="1"/>
    </xf>
    <xf numFmtId="49" fontId="11" fillId="2" borderId="91" xfId="0" applyNumberFormat="1" applyFont="1" applyFill="1" applyBorder="1" applyAlignment="1">
      <alignment horizontal="center" vertical="center" wrapText="1" shrinkToFit="1"/>
    </xf>
    <xf numFmtId="49" fontId="12" fillId="3" borderId="7" xfId="0" applyNumberFormat="1" applyFont="1" applyFill="1" applyBorder="1" applyAlignment="1">
      <alignment horizontal="center" vertical="center" wrapText="1"/>
    </xf>
    <xf numFmtId="49" fontId="20" fillId="0" borderId="68" xfId="0" applyNumberFormat="1" applyFont="1" applyBorder="1" applyAlignment="1">
      <alignment horizontal="left" vertical="center" wrapText="1"/>
    </xf>
    <xf numFmtId="49" fontId="20" fillId="0" borderId="68" xfId="0" applyNumberFormat="1" applyFont="1" applyBorder="1" applyAlignment="1">
      <alignment horizontal="left" vertical="center"/>
    </xf>
    <xf numFmtId="49" fontId="20" fillId="0" borderId="69" xfId="0" applyNumberFormat="1" applyFont="1" applyBorder="1" applyAlignment="1">
      <alignment horizontal="left" vertical="center"/>
    </xf>
    <xf numFmtId="49" fontId="20" fillId="0" borderId="0" xfId="0" applyNumberFormat="1" applyFont="1" applyBorder="1" applyAlignment="1">
      <alignment horizontal="left" vertical="center"/>
    </xf>
    <xf numFmtId="49" fontId="20" fillId="0" borderId="7" xfId="0" applyNumberFormat="1" applyFont="1" applyBorder="1" applyAlignment="1">
      <alignment horizontal="left" vertical="center"/>
    </xf>
    <xf numFmtId="49" fontId="20" fillId="0" borderId="56" xfId="0" applyNumberFormat="1" applyFont="1" applyBorder="1" applyAlignment="1">
      <alignment horizontal="left" vertical="center"/>
    </xf>
    <xf numFmtId="49" fontId="20" fillId="0" borderId="58" xfId="0" applyNumberFormat="1" applyFont="1" applyBorder="1" applyAlignment="1">
      <alignment horizontal="left" vertical="center"/>
    </xf>
    <xf numFmtId="49" fontId="22" fillId="3" borderId="115" xfId="0" applyNumberFormat="1" applyFont="1" applyFill="1" applyBorder="1" applyAlignment="1">
      <alignment horizontal="left" vertical="center"/>
    </xf>
    <xf numFmtId="49" fontId="21" fillId="3" borderId="78" xfId="0" applyNumberFormat="1" applyFont="1" applyFill="1" applyBorder="1" applyAlignment="1">
      <alignment horizontal="left" vertical="center"/>
    </xf>
    <xf numFmtId="49" fontId="21" fillId="3" borderId="116" xfId="0" applyNumberFormat="1" applyFont="1" applyFill="1" applyBorder="1" applyAlignment="1">
      <alignment horizontal="left" vertical="center"/>
    </xf>
    <xf numFmtId="49" fontId="12" fillId="0" borderId="68" xfId="0" applyNumberFormat="1" applyFont="1" applyBorder="1" applyAlignment="1">
      <alignment horizontal="left" vertical="center" wrapText="1"/>
    </xf>
    <xf numFmtId="49" fontId="12" fillId="0" borderId="68" xfId="0" applyNumberFormat="1" applyFont="1" applyBorder="1" applyAlignment="1">
      <alignment horizontal="left" vertical="center"/>
    </xf>
    <xf numFmtId="49" fontId="12" fillId="0" borderId="69" xfId="0" applyNumberFormat="1" applyFont="1" applyBorder="1" applyAlignment="1">
      <alignment horizontal="left" vertical="center"/>
    </xf>
    <xf numFmtId="49" fontId="17" fillId="0" borderId="119" xfId="0" applyNumberFormat="1" applyFont="1" applyFill="1" applyBorder="1" applyAlignment="1" applyProtection="1">
      <alignment horizontal="center" vertical="center"/>
      <protection locked="0"/>
    </xf>
    <xf numFmtId="49" fontId="17" fillId="0" borderId="13" xfId="0" applyNumberFormat="1" applyFont="1" applyFill="1" applyBorder="1" applyAlignment="1" applyProtection="1">
      <alignment horizontal="center" vertical="center"/>
      <protection locked="0"/>
    </xf>
    <xf numFmtId="49" fontId="17" fillId="0" borderId="117" xfId="0" applyNumberFormat="1" applyFont="1" applyBorder="1" applyAlignment="1">
      <alignment horizontal="left" vertical="center"/>
    </xf>
    <xf numFmtId="49" fontId="17" fillId="0" borderId="53" xfId="0" applyNumberFormat="1" applyFont="1" applyBorder="1" applyAlignment="1">
      <alignment horizontal="left" vertical="center"/>
    </xf>
    <xf numFmtId="49" fontId="17" fillId="0" borderId="118" xfId="0" applyNumberFormat="1" applyFont="1" applyBorder="1" applyAlignment="1">
      <alignment horizontal="left" vertical="center"/>
    </xf>
    <xf numFmtId="49" fontId="17" fillId="0" borderId="117" xfId="0" applyNumberFormat="1" applyFont="1" applyFill="1" applyBorder="1" applyAlignment="1">
      <alignment vertical="center"/>
    </xf>
    <xf numFmtId="49" fontId="17" fillId="0" borderId="53" xfId="0" applyNumberFormat="1" applyFont="1" applyFill="1" applyBorder="1" applyAlignment="1">
      <alignment vertical="center"/>
    </xf>
    <xf numFmtId="49" fontId="17" fillId="0" borderId="118" xfId="0" applyNumberFormat="1" applyFont="1" applyFill="1" applyBorder="1" applyAlignment="1">
      <alignment vertical="center"/>
    </xf>
    <xf numFmtId="49" fontId="9" fillId="0" borderId="0" xfId="0" applyNumberFormat="1" applyFont="1" applyFill="1" applyBorder="1" applyAlignment="1">
      <alignment horizontal="center" vertical="center"/>
    </xf>
    <xf numFmtId="49" fontId="11" fillId="2" borderId="83" xfId="0" applyNumberFormat="1" applyFont="1" applyFill="1" applyBorder="1" applyAlignment="1">
      <alignment horizontal="center" vertical="center"/>
    </xf>
    <xf numFmtId="49" fontId="11" fillId="2" borderId="53" xfId="0" applyNumberFormat="1" applyFont="1" applyFill="1" applyBorder="1" applyAlignment="1">
      <alignment horizontal="center" vertical="center"/>
    </xf>
    <xf numFmtId="49" fontId="11" fillId="2" borderId="84" xfId="0" applyNumberFormat="1" applyFont="1" applyFill="1" applyBorder="1" applyAlignment="1">
      <alignment horizontal="center" vertical="center"/>
    </xf>
    <xf numFmtId="49" fontId="12" fillId="3" borderId="53" xfId="0" applyNumberFormat="1" applyFont="1" applyFill="1" applyBorder="1" applyAlignment="1">
      <alignment horizontal="center" vertical="center"/>
    </xf>
    <xf numFmtId="49" fontId="12" fillId="3" borderId="85" xfId="0" applyNumberFormat="1" applyFont="1" applyFill="1" applyBorder="1" applyAlignment="1">
      <alignment horizontal="center" vertical="center"/>
    </xf>
    <xf numFmtId="49" fontId="12" fillId="3" borderId="54" xfId="0" applyNumberFormat="1" applyFont="1" applyFill="1" applyBorder="1" applyAlignment="1">
      <alignment horizontal="center" vertical="center"/>
    </xf>
    <xf numFmtId="49" fontId="11" fillId="2" borderId="54" xfId="0" applyNumberFormat="1" applyFont="1" applyFill="1" applyBorder="1" applyAlignment="1">
      <alignment horizontal="center" vertical="center"/>
    </xf>
    <xf numFmtId="49" fontId="12" fillId="0" borderId="85" xfId="0" applyNumberFormat="1" applyFont="1" applyFill="1" applyBorder="1" applyAlignment="1">
      <alignment horizontal="center" vertical="center"/>
    </xf>
    <xf numFmtId="49" fontId="12" fillId="0" borderId="53" xfId="0" applyNumberFormat="1" applyFont="1" applyFill="1" applyBorder="1" applyAlignment="1">
      <alignment horizontal="center" vertical="center"/>
    </xf>
    <xf numFmtId="49" fontId="12" fillId="0" borderId="54" xfId="0" applyNumberFormat="1" applyFont="1" applyFill="1" applyBorder="1" applyAlignment="1">
      <alignment horizontal="center" vertical="center"/>
    </xf>
    <xf numFmtId="49" fontId="17" fillId="0" borderId="83" xfId="353" applyNumberFormat="1" applyFont="1" applyFill="1" applyBorder="1" applyAlignment="1">
      <alignment horizontal="left" vertical="center"/>
    </xf>
    <xf numFmtId="49" fontId="17" fillId="0" borderId="53" xfId="353" applyNumberFormat="1" applyFont="1" applyFill="1" applyBorder="1" applyAlignment="1">
      <alignment horizontal="left" vertical="center"/>
    </xf>
    <xf numFmtId="49" fontId="17" fillId="0" borderId="118" xfId="353" applyNumberFormat="1" applyFont="1" applyFill="1" applyBorder="1" applyAlignment="1">
      <alignment horizontal="left" vertical="center"/>
    </xf>
    <xf numFmtId="49" fontId="17" fillId="0" borderId="117" xfId="0" applyNumberFormat="1" applyFont="1" applyFill="1" applyBorder="1" applyAlignment="1">
      <alignment horizontal="left" vertical="center"/>
    </xf>
    <xf numFmtId="0" fontId="17" fillId="0" borderId="53" xfId="0" applyFont="1" applyBorder="1" applyAlignment="1">
      <alignment horizontal="left" vertical="center"/>
    </xf>
    <xf numFmtId="0" fontId="17" fillId="0" borderId="118" xfId="0" applyFont="1" applyBorder="1" applyAlignment="1">
      <alignment horizontal="left" vertical="center"/>
    </xf>
    <xf numFmtId="49" fontId="17" fillId="0" borderId="119" xfId="353" applyNumberFormat="1" applyFont="1" applyFill="1" applyBorder="1" applyAlignment="1" applyProtection="1">
      <alignment horizontal="center" vertical="center"/>
      <protection locked="0"/>
    </xf>
    <xf numFmtId="49" fontId="17" fillId="0" borderId="54" xfId="353" applyNumberFormat="1" applyFont="1" applyFill="1" applyBorder="1" applyAlignment="1" applyProtection="1">
      <alignment horizontal="center" vertical="center"/>
      <protection locked="0"/>
    </xf>
    <xf numFmtId="49" fontId="24" fillId="4" borderId="83" xfId="353" applyNumberFormat="1" applyFont="1" applyFill="1" applyBorder="1" applyAlignment="1">
      <alignment horizontal="left" vertical="center"/>
    </xf>
    <xf numFmtId="49" fontId="24" fillId="4" borderId="53" xfId="353" applyNumberFormat="1" applyFont="1" applyFill="1" applyBorder="1" applyAlignment="1">
      <alignment horizontal="left" vertical="center"/>
    </xf>
    <xf numFmtId="49" fontId="24" fillId="4" borderId="118" xfId="353" applyNumberFormat="1" applyFont="1" applyFill="1" applyBorder="1" applyAlignment="1">
      <alignment horizontal="left" vertical="center"/>
    </xf>
    <xf numFmtId="49" fontId="17" fillId="4" borderId="119" xfId="353" applyNumberFormat="1" applyFont="1" applyFill="1" applyBorder="1" applyAlignment="1" applyProtection="1">
      <alignment horizontal="center" vertical="center"/>
      <protection locked="0"/>
    </xf>
    <xf numFmtId="49" fontId="17" fillId="4" borderId="54" xfId="353" applyNumberFormat="1" applyFont="1" applyFill="1" applyBorder="1" applyAlignment="1" applyProtection="1">
      <alignment horizontal="center" vertical="center"/>
      <protection locked="0"/>
    </xf>
    <xf numFmtId="49" fontId="17" fillId="0" borderId="117" xfId="353" applyNumberFormat="1" applyFont="1" applyFill="1" applyBorder="1" applyAlignment="1">
      <alignment horizontal="left" vertical="center"/>
    </xf>
    <xf numFmtId="49" fontId="25" fillId="0" borderId="119" xfId="0" applyNumberFormat="1" applyFont="1" applyBorder="1" applyAlignment="1" applyProtection="1">
      <alignment horizontal="center" vertical="center"/>
      <protection locked="0"/>
    </xf>
    <xf numFmtId="49" fontId="25" fillId="0" borderId="120" xfId="0" applyNumberFormat="1" applyFont="1" applyBorder="1" applyAlignment="1" applyProtection="1">
      <alignment horizontal="center" vertical="center"/>
      <protection locked="0"/>
    </xf>
    <xf numFmtId="49" fontId="12" fillId="3" borderId="71" xfId="0" applyNumberFormat="1" applyFont="1" applyFill="1" applyBorder="1" applyAlignment="1">
      <alignment horizontal="center" vertical="center" wrapText="1"/>
    </xf>
    <xf numFmtId="49" fontId="12" fillId="3" borderId="58" xfId="0" applyNumberFormat="1" applyFont="1" applyFill="1" applyBorder="1" applyAlignment="1">
      <alignment horizontal="center" vertical="center" wrapText="1"/>
    </xf>
    <xf numFmtId="49" fontId="7" fillId="0" borderId="0" xfId="0" applyNumberFormat="1" applyFont="1" applyBorder="1" applyAlignment="1">
      <alignment horizontal="center" vertical="center" wrapText="1"/>
    </xf>
    <xf numFmtId="49" fontId="11" fillId="2" borderId="9" xfId="0" applyNumberFormat="1" applyFont="1" applyFill="1" applyBorder="1" applyAlignment="1">
      <alignment horizontal="center" vertical="center"/>
    </xf>
    <xf numFmtId="49" fontId="11" fillId="2" borderId="10" xfId="0" applyNumberFormat="1" applyFont="1" applyFill="1" applyBorder="1" applyAlignment="1">
      <alignment horizontal="center" vertical="center"/>
    </xf>
    <xf numFmtId="49" fontId="11" fillId="2" borderId="74" xfId="0" applyNumberFormat="1" applyFont="1" applyFill="1" applyBorder="1" applyAlignment="1">
      <alignment horizontal="center" vertical="center"/>
    </xf>
    <xf numFmtId="49" fontId="11" fillId="2" borderId="75" xfId="0" applyNumberFormat="1" applyFont="1" applyFill="1" applyBorder="1" applyAlignment="1">
      <alignment horizontal="center" vertical="center"/>
    </xf>
    <xf numFmtId="49" fontId="11" fillId="2" borderId="76" xfId="0" applyNumberFormat="1" applyFont="1" applyFill="1" applyBorder="1" applyAlignment="1">
      <alignment horizontal="center" vertical="center"/>
    </xf>
    <xf numFmtId="49" fontId="11" fillId="2" borderId="77" xfId="0" applyNumberFormat="1" applyFont="1" applyFill="1" applyBorder="1" applyAlignment="1">
      <alignment horizontal="center" vertical="center"/>
    </xf>
    <xf numFmtId="49" fontId="11" fillId="2" borderId="78" xfId="0" applyNumberFormat="1" applyFont="1" applyFill="1" applyBorder="1" applyAlignment="1">
      <alignment horizontal="center" vertical="center"/>
    </xf>
    <xf numFmtId="49" fontId="11" fillId="2" borderId="79" xfId="0" applyNumberFormat="1" applyFont="1" applyFill="1" applyBorder="1" applyAlignment="1">
      <alignment horizontal="center" vertical="center"/>
    </xf>
    <xf numFmtId="49" fontId="11" fillId="2" borderId="80" xfId="0" applyNumberFormat="1" applyFont="1" applyFill="1" applyBorder="1" applyAlignment="1">
      <alignment horizontal="center" vertical="center"/>
    </xf>
    <xf numFmtId="49" fontId="11" fillId="2" borderId="81" xfId="0" applyNumberFormat="1" applyFont="1" applyFill="1" applyBorder="1" applyAlignment="1">
      <alignment horizontal="center" vertical="center"/>
    </xf>
    <xf numFmtId="49" fontId="11" fillId="2" borderId="82" xfId="0" applyNumberFormat="1" applyFont="1" applyFill="1" applyBorder="1" applyAlignment="1">
      <alignment horizontal="center" vertical="center"/>
    </xf>
    <xf numFmtId="49" fontId="12" fillId="0" borderId="18" xfId="0" applyNumberFormat="1" applyFont="1" applyBorder="1" applyAlignment="1">
      <alignment horizontal="center" vertical="center"/>
    </xf>
    <xf numFmtId="49" fontId="12" fillId="0" borderId="60" xfId="0" applyNumberFormat="1" applyFont="1" applyBorder="1" applyAlignment="1">
      <alignment horizontal="center" vertical="center"/>
    </xf>
    <xf numFmtId="49" fontId="12" fillId="0" borderId="20" xfId="0" applyNumberFormat="1" applyFont="1" applyBorder="1" applyAlignment="1">
      <alignment horizontal="center" vertical="center"/>
    </xf>
    <xf numFmtId="49" fontId="11" fillId="2" borderId="19" xfId="0" applyNumberFormat="1" applyFont="1" applyFill="1" applyBorder="1" applyAlignment="1">
      <alignment horizontal="center" vertical="center"/>
    </xf>
    <xf numFmtId="49" fontId="11" fillId="2" borderId="20" xfId="0" applyNumberFormat="1" applyFont="1" applyFill="1" applyBorder="1" applyAlignment="1">
      <alignment horizontal="center" vertical="center"/>
    </xf>
    <xf numFmtId="49" fontId="12" fillId="0" borderId="19" xfId="0" applyNumberFormat="1" applyFont="1" applyBorder="1" applyAlignment="1">
      <alignment horizontal="center" vertical="center"/>
    </xf>
    <xf numFmtId="49" fontId="11" fillId="2" borderId="27" xfId="0" applyNumberFormat="1" applyFont="1" applyFill="1" applyBorder="1" applyAlignment="1">
      <alignment horizontal="center" vertical="center"/>
    </xf>
    <xf numFmtId="49" fontId="12" fillId="0" borderId="34" xfId="0" applyNumberFormat="1" applyFont="1" applyBorder="1" applyAlignment="1">
      <alignment horizontal="center" vertical="center"/>
    </xf>
    <xf numFmtId="49" fontId="12" fillId="0" borderId="56" xfId="0" applyNumberFormat="1" applyFont="1" applyBorder="1" applyAlignment="1">
      <alignment horizontal="center" vertical="center"/>
    </xf>
    <xf numFmtId="49" fontId="12" fillId="0" borderId="57" xfId="0" applyNumberFormat="1" applyFont="1" applyBorder="1" applyAlignment="1">
      <alignment horizontal="center" vertical="center"/>
    </xf>
    <xf numFmtId="49" fontId="12" fillId="0" borderId="25" xfId="0" applyNumberFormat="1" applyFont="1" applyFill="1" applyBorder="1" applyAlignment="1">
      <alignment horizontal="center" vertical="center"/>
    </xf>
    <xf numFmtId="49" fontId="12" fillId="0" borderId="15" xfId="0" applyNumberFormat="1" applyFont="1" applyFill="1" applyBorder="1" applyAlignment="1">
      <alignment horizontal="center" vertical="center"/>
    </xf>
    <xf numFmtId="49" fontId="12" fillId="0" borderId="26" xfId="0" applyNumberFormat="1" applyFont="1" applyFill="1" applyBorder="1" applyAlignment="1">
      <alignment horizontal="center" vertical="center"/>
    </xf>
    <xf numFmtId="49" fontId="11" fillId="2" borderId="1" xfId="0" applyNumberFormat="1" applyFont="1" applyFill="1" applyBorder="1" applyAlignment="1">
      <alignment horizontal="center" vertical="center"/>
    </xf>
    <xf numFmtId="49" fontId="11" fillId="2" borderId="2" xfId="0" applyNumberFormat="1" applyFont="1" applyFill="1" applyBorder="1" applyAlignment="1">
      <alignment horizontal="center" vertical="center"/>
    </xf>
    <xf numFmtId="49" fontId="11" fillId="2" borderId="4" xfId="0" applyNumberFormat="1" applyFont="1" applyFill="1" applyBorder="1" applyAlignment="1">
      <alignment horizontal="center" vertical="center"/>
    </xf>
    <xf numFmtId="49" fontId="12" fillId="3" borderId="17" xfId="0" applyNumberFormat="1" applyFont="1" applyFill="1" applyBorder="1" applyAlignment="1">
      <alignment horizontal="center" vertical="center"/>
    </xf>
    <xf numFmtId="49" fontId="12" fillId="3" borderId="2" xfId="0" applyNumberFormat="1" applyFont="1" applyFill="1" applyBorder="1" applyAlignment="1">
      <alignment horizontal="center" vertical="center"/>
    </xf>
    <xf numFmtId="49" fontId="12" fillId="3" borderId="21" xfId="0" applyNumberFormat="1" applyFont="1" applyFill="1" applyBorder="1" applyAlignment="1">
      <alignment horizontal="center" vertical="center"/>
    </xf>
    <xf numFmtId="49" fontId="11" fillId="2" borderId="3"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14" xfId="0" applyNumberFormat="1" applyFont="1" applyFill="1" applyBorder="1" applyAlignment="1">
      <alignment horizontal="center" vertical="center"/>
    </xf>
    <xf numFmtId="49" fontId="12" fillId="0" borderId="16" xfId="0" applyNumberFormat="1" applyFont="1" applyFill="1" applyBorder="1" applyAlignment="1">
      <alignment horizontal="center" vertical="center"/>
    </xf>
    <xf numFmtId="49" fontId="12" fillId="0" borderId="2" xfId="0" applyNumberFormat="1" applyFont="1" applyFill="1" applyBorder="1" applyAlignment="1">
      <alignment horizontal="center" vertical="center"/>
    </xf>
    <xf numFmtId="49" fontId="12" fillId="0" borderId="14" xfId="0" applyNumberFormat="1" applyFont="1" applyFill="1" applyBorder="1" applyAlignment="1">
      <alignment horizontal="center" vertical="center"/>
    </xf>
    <xf numFmtId="49" fontId="11" fillId="2" borderId="39" xfId="0" applyNumberFormat="1" applyFont="1" applyFill="1" applyBorder="1" applyAlignment="1">
      <alignment horizontal="center" vertical="center"/>
    </xf>
    <xf numFmtId="49" fontId="11" fillId="2" borderId="40" xfId="0" applyNumberFormat="1" applyFont="1" applyFill="1" applyBorder="1" applyAlignment="1">
      <alignment horizontal="center" vertical="center"/>
    </xf>
    <xf numFmtId="49" fontId="12" fillId="0" borderId="38" xfId="0" applyNumberFormat="1" applyFont="1" applyBorder="1" applyAlignment="1">
      <alignment horizontal="center" vertical="center"/>
    </xf>
    <xf numFmtId="49" fontId="12" fillId="0" borderId="39" xfId="0" applyNumberFormat="1" applyFont="1" applyBorder="1" applyAlignment="1">
      <alignment horizontal="center" vertical="center"/>
    </xf>
    <xf numFmtId="49" fontId="12" fillId="0" borderId="44" xfId="0" applyNumberFormat="1" applyFont="1" applyBorder="1" applyAlignment="1">
      <alignment horizontal="center" vertical="center"/>
    </xf>
    <xf numFmtId="49" fontId="12" fillId="3" borderId="50" xfId="0" applyNumberFormat="1" applyFont="1" applyFill="1" applyBorder="1" applyAlignment="1">
      <alignment horizontal="center" vertical="center"/>
    </xf>
    <xf numFmtId="49" fontId="12" fillId="3" borderId="51" xfId="0" applyNumberFormat="1" applyFont="1" applyFill="1" applyBorder="1" applyAlignment="1">
      <alignment horizontal="center" vertical="center"/>
    </xf>
    <xf numFmtId="49" fontId="11" fillId="2" borderId="51" xfId="0" applyNumberFormat="1" applyFont="1" applyFill="1" applyBorder="1" applyAlignment="1">
      <alignment horizontal="center" vertical="center"/>
    </xf>
    <xf numFmtId="49" fontId="12" fillId="0" borderId="85" xfId="0" applyNumberFormat="1" applyFont="1" applyBorder="1" applyAlignment="1">
      <alignment horizontal="center" vertical="center"/>
    </xf>
    <xf numFmtId="49" fontId="12" fillId="0" borderId="53" xfId="0" applyNumberFormat="1" applyFont="1" applyBorder="1" applyAlignment="1">
      <alignment horizontal="center" vertical="center"/>
    </xf>
    <xf numFmtId="49" fontId="12" fillId="0" borderId="86" xfId="0" applyNumberFormat="1" applyFont="1" applyBorder="1" applyAlignment="1">
      <alignment horizontal="center" vertical="center"/>
    </xf>
    <xf numFmtId="49" fontId="12" fillId="3" borderId="41" xfId="0" applyNumberFormat="1" applyFont="1" applyFill="1" applyBorder="1" applyAlignment="1">
      <alignment horizontal="center" vertical="center"/>
    </xf>
    <xf numFmtId="49" fontId="12" fillId="3" borderId="39" xfId="0" applyNumberFormat="1" applyFont="1" applyFill="1" applyBorder="1" applyAlignment="1">
      <alignment horizontal="center" vertical="center"/>
    </xf>
    <xf numFmtId="49" fontId="11" fillId="2" borderId="52" xfId="0" applyNumberFormat="1" applyFont="1" applyFill="1" applyBorder="1" applyAlignment="1">
      <alignment horizontal="center" vertical="center"/>
    </xf>
    <xf numFmtId="49" fontId="12" fillId="0" borderId="60" xfId="0" applyNumberFormat="1" applyFont="1" applyFill="1" applyBorder="1" applyAlignment="1">
      <alignment horizontal="left" vertical="center"/>
    </xf>
    <xf numFmtId="49" fontId="12" fillId="0" borderId="37" xfId="0" applyNumberFormat="1" applyFont="1" applyFill="1" applyBorder="1" applyAlignment="1">
      <alignment horizontal="left" vertical="center"/>
    </xf>
    <xf numFmtId="49" fontId="11" fillId="2" borderId="22" xfId="0" applyNumberFormat="1" applyFont="1" applyFill="1" applyBorder="1" applyAlignment="1">
      <alignment horizontal="center" vertical="center"/>
    </xf>
    <xf numFmtId="49" fontId="11" fillId="2" borderId="56" xfId="0" applyNumberFormat="1" applyFont="1" applyFill="1" applyBorder="1" applyAlignment="1">
      <alignment horizontal="center" vertical="center"/>
    </xf>
    <xf numFmtId="49" fontId="11" fillId="2" borderId="23" xfId="0" applyNumberFormat="1" applyFont="1" applyFill="1" applyBorder="1" applyAlignment="1">
      <alignment horizontal="center" vertical="center"/>
    </xf>
    <xf numFmtId="49" fontId="9" fillId="0" borderId="89" xfId="0" applyNumberFormat="1" applyFont="1" applyBorder="1" applyAlignment="1">
      <alignment horizontal="center" vertical="center"/>
    </xf>
    <xf numFmtId="49" fontId="9" fillId="0" borderId="90" xfId="0" applyNumberFormat="1" applyFont="1" applyBorder="1" applyAlignment="1">
      <alignment horizontal="center" vertical="center"/>
    </xf>
    <xf numFmtId="49" fontId="9" fillId="0" borderId="90" xfId="0" applyNumberFormat="1" applyFont="1" applyBorder="1" applyAlignment="1">
      <alignment horizontal="left" vertical="center"/>
    </xf>
    <xf numFmtId="49" fontId="9" fillId="0" borderId="35" xfId="0" applyNumberFormat="1" applyFont="1" applyBorder="1" applyAlignment="1">
      <alignment horizontal="left" vertical="center"/>
    </xf>
    <xf numFmtId="49" fontId="9" fillId="0" borderId="36" xfId="0" applyNumberFormat="1" applyFont="1" applyBorder="1" applyAlignment="1">
      <alignment horizontal="left" vertical="center"/>
    </xf>
    <xf numFmtId="49" fontId="11" fillId="2" borderId="87" xfId="0" applyNumberFormat="1" applyFont="1" applyFill="1" applyBorder="1" applyAlignment="1">
      <alignment horizontal="center" vertical="center"/>
    </xf>
    <xf numFmtId="49" fontId="11" fillId="2" borderId="91" xfId="0" applyNumberFormat="1" applyFont="1" applyFill="1" applyBorder="1" applyAlignment="1">
      <alignment horizontal="center" vertical="center"/>
    </xf>
    <xf numFmtId="49" fontId="11" fillId="2" borderId="12" xfId="0" applyNumberFormat="1" applyFont="1" applyFill="1" applyBorder="1" applyAlignment="1">
      <alignment horizontal="center" vertical="center"/>
    </xf>
    <xf numFmtId="49" fontId="11" fillId="2" borderId="66" xfId="0" applyNumberFormat="1" applyFont="1" applyFill="1" applyBorder="1" applyAlignment="1">
      <alignment horizontal="center" vertical="center"/>
    </xf>
    <xf numFmtId="49" fontId="11" fillId="2" borderId="92" xfId="0" applyNumberFormat="1" applyFont="1" applyFill="1" applyBorder="1" applyAlignment="1">
      <alignment horizontal="center" vertical="center" wrapText="1"/>
    </xf>
    <xf numFmtId="49" fontId="11" fillId="2" borderId="88" xfId="0" applyNumberFormat="1" applyFont="1" applyFill="1" applyBorder="1" applyAlignment="1">
      <alignment horizontal="center" vertical="center" wrapText="1"/>
    </xf>
    <xf numFmtId="49" fontId="11" fillId="2" borderId="93" xfId="0" applyNumberFormat="1" applyFont="1" applyFill="1" applyBorder="1" applyAlignment="1">
      <alignment horizontal="center" vertical="center" wrapText="1"/>
    </xf>
    <xf numFmtId="49" fontId="11" fillId="2" borderId="6" xfId="0" applyNumberFormat="1" applyFont="1" applyFill="1" applyBorder="1" applyAlignment="1">
      <alignment horizontal="center" vertical="center" wrapText="1"/>
    </xf>
    <xf numFmtId="49" fontId="11" fillId="2" borderId="0" xfId="0" applyNumberFormat="1" applyFont="1" applyFill="1" applyBorder="1" applyAlignment="1">
      <alignment horizontal="center" vertical="center" wrapText="1"/>
    </xf>
    <xf numFmtId="49" fontId="11" fillId="2" borderId="11" xfId="0" applyNumberFormat="1" applyFont="1" applyFill="1" applyBorder="1" applyAlignment="1">
      <alignment horizontal="center" vertical="center" wrapText="1"/>
    </xf>
    <xf numFmtId="49" fontId="11" fillId="2" borderId="64" xfId="0" applyNumberFormat="1" applyFont="1" applyFill="1" applyBorder="1" applyAlignment="1">
      <alignment horizontal="center" vertical="center" wrapText="1"/>
    </xf>
    <xf numFmtId="49" fontId="11" fillId="2" borderId="65" xfId="0" applyNumberFormat="1" applyFont="1" applyFill="1" applyBorder="1" applyAlignment="1">
      <alignment horizontal="center" vertical="center" wrapText="1"/>
    </xf>
    <xf numFmtId="49" fontId="11" fillId="2" borderId="24" xfId="0" applyNumberFormat="1" applyFont="1" applyFill="1" applyBorder="1" applyAlignment="1">
      <alignment horizontal="center" vertical="center" wrapText="1"/>
    </xf>
    <xf numFmtId="6" fontId="11" fillId="2" borderId="8" xfId="354" applyFont="1" applyFill="1" applyBorder="1" applyAlignment="1">
      <alignment horizontal="center" vertical="center"/>
    </xf>
    <xf numFmtId="6" fontId="11" fillId="2" borderId="9" xfId="354" applyFont="1" applyFill="1" applyBorder="1" applyAlignment="1">
      <alignment horizontal="center" vertical="center"/>
    </xf>
    <xf numFmtId="6" fontId="11" fillId="2" borderId="10" xfId="354" applyFont="1" applyFill="1" applyBorder="1" applyAlignment="1">
      <alignment horizontal="center" vertical="center"/>
    </xf>
    <xf numFmtId="6" fontId="11" fillId="2" borderId="67" xfId="354" applyFont="1" applyFill="1" applyBorder="1" applyAlignment="1">
      <alignment horizontal="center" vertical="center"/>
    </xf>
    <xf numFmtId="6" fontId="11" fillId="2" borderId="0" xfId="354" applyFont="1" applyFill="1" applyBorder="1" applyAlignment="1">
      <alignment horizontal="center" vertical="center"/>
    </xf>
    <xf numFmtId="6" fontId="11" fillId="2" borderId="11" xfId="354" applyFont="1" applyFill="1" applyBorder="1" applyAlignment="1">
      <alignment horizontal="center" vertical="center"/>
    </xf>
    <xf numFmtId="6" fontId="11" fillId="2" borderId="34" xfId="354" applyFont="1" applyFill="1" applyBorder="1" applyAlignment="1">
      <alignment horizontal="center" vertical="center"/>
    </xf>
    <xf numFmtId="6" fontId="11" fillId="2" borderId="56" xfId="354" applyFont="1" applyFill="1" applyBorder="1" applyAlignment="1">
      <alignment horizontal="center" vertical="center"/>
    </xf>
    <xf numFmtId="6" fontId="11" fillId="2" borderId="57" xfId="354" applyFont="1" applyFill="1" applyBorder="1" applyAlignment="1">
      <alignment horizontal="center" vertical="center"/>
    </xf>
    <xf numFmtId="49" fontId="11" fillId="2" borderId="87" xfId="0" applyNumberFormat="1" applyFont="1" applyFill="1" applyBorder="1" applyAlignment="1">
      <alignment horizontal="center" vertical="center" wrapText="1"/>
    </xf>
    <xf numFmtId="49" fontId="11" fillId="2" borderId="67" xfId="0" applyNumberFormat="1" applyFont="1" applyFill="1" applyBorder="1" applyAlignment="1">
      <alignment horizontal="center" vertical="center" wrapText="1"/>
    </xf>
    <xf numFmtId="49" fontId="11" fillId="2" borderId="12" xfId="0" applyNumberFormat="1" applyFont="1" applyFill="1" applyBorder="1" applyAlignment="1">
      <alignment horizontal="center" vertical="center" wrapText="1"/>
    </xf>
    <xf numFmtId="49" fontId="11" fillId="2" borderId="91" xfId="0" applyNumberFormat="1" applyFont="1" applyFill="1" applyBorder="1" applyAlignment="1">
      <alignment horizontal="center" vertical="center" wrapText="1"/>
    </xf>
    <xf numFmtId="49" fontId="11" fillId="2" borderId="7" xfId="0" applyNumberFormat="1" applyFont="1" applyFill="1" applyBorder="1" applyAlignment="1">
      <alignment horizontal="center" vertical="center" wrapText="1"/>
    </xf>
    <xf numFmtId="49" fontId="11" fillId="2" borderId="66" xfId="0" applyNumberFormat="1" applyFont="1" applyFill="1" applyBorder="1" applyAlignment="1">
      <alignment horizontal="center" vertical="center" wrapText="1"/>
    </xf>
    <xf numFmtId="49" fontId="11" fillId="2" borderId="34" xfId="0" applyNumberFormat="1" applyFont="1" applyFill="1" applyBorder="1" applyAlignment="1">
      <alignment horizontal="center" vertical="center" wrapText="1"/>
    </xf>
    <xf numFmtId="49" fontId="11" fillId="2" borderId="56" xfId="0" applyNumberFormat="1" applyFont="1" applyFill="1" applyBorder="1" applyAlignment="1">
      <alignment horizontal="center" vertical="center" wrapText="1"/>
    </xf>
    <xf numFmtId="49" fontId="11" fillId="2" borderId="58" xfId="0" applyNumberFormat="1" applyFont="1" applyFill="1" applyBorder="1" applyAlignment="1">
      <alignment horizontal="center" vertical="center" wrapText="1"/>
    </xf>
    <xf numFmtId="49" fontId="13" fillId="2" borderId="46" xfId="0" applyNumberFormat="1" applyFont="1" applyFill="1" applyBorder="1" applyAlignment="1">
      <alignment vertical="center" textRotation="255"/>
    </xf>
    <xf numFmtId="49" fontId="13" fillId="2" borderId="29" xfId="0" applyNumberFormat="1" applyFont="1" applyFill="1" applyBorder="1" applyAlignment="1">
      <alignment vertical="center" textRotation="255"/>
    </xf>
    <xf numFmtId="49" fontId="13" fillId="2" borderId="6" xfId="0" applyNumberFormat="1" applyFont="1" applyFill="1" applyBorder="1" applyAlignment="1">
      <alignment vertical="center" textRotation="255"/>
    </xf>
    <xf numFmtId="49" fontId="13" fillId="2" borderId="33" xfId="0" applyNumberFormat="1" applyFont="1" applyFill="1" applyBorder="1" applyAlignment="1">
      <alignment vertical="center" textRotation="255"/>
    </xf>
    <xf numFmtId="49" fontId="13" fillId="2" borderId="64" xfId="0" applyNumberFormat="1" applyFont="1" applyFill="1" applyBorder="1" applyAlignment="1">
      <alignment vertical="center" textRotation="255"/>
    </xf>
    <xf numFmtId="49" fontId="13" fillId="2" borderId="31" xfId="0" applyNumberFormat="1" applyFont="1" applyFill="1" applyBorder="1" applyAlignment="1">
      <alignment vertical="center" textRotation="255"/>
    </xf>
    <xf numFmtId="49" fontId="13" fillId="2" borderId="28" xfId="0" applyNumberFormat="1" applyFont="1" applyFill="1" applyBorder="1" applyAlignment="1">
      <alignment vertical="center" textRotation="255"/>
    </xf>
    <xf numFmtId="49" fontId="13" fillId="2" borderId="32" xfId="0" applyNumberFormat="1" applyFont="1" applyFill="1" applyBorder="1" applyAlignment="1">
      <alignment vertical="center" textRotation="255"/>
    </xf>
    <xf numFmtId="49" fontId="13" fillId="2" borderId="30" xfId="0" applyNumberFormat="1" applyFont="1" applyFill="1" applyBorder="1" applyAlignment="1">
      <alignment vertical="center" textRotation="255"/>
    </xf>
    <xf numFmtId="49" fontId="13" fillId="2" borderId="28" xfId="0" applyNumberFormat="1" applyFont="1" applyFill="1" applyBorder="1" applyAlignment="1">
      <alignment horizontal="center" vertical="center" textRotation="255"/>
    </xf>
    <xf numFmtId="49" fontId="13" fillId="2" borderId="29" xfId="0" applyNumberFormat="1" applyFont="1" applyFill="1" applyBorder="1" applyAlignment="1">
      <alignment horizontal="center" vertical="center" textRotation="255"/>
    </xf>
    <xf numFmtId="49" fontId="13" fillId="2" borderId="32" xfId="0" applyNumberFormat="1" applyFont="1" applyFill="1" applyBorder="1" applyAlignment="1">
      <alignment horizontal="center" vertical="center" textRotation="255"/>
    </xf>
    <xf numFmtId="49" fontId="13" fillId="2" borderId="33" xfId="0" applyNumberFormat="1" applyFont="1" applyFill="1" applyBorder="1" applyAlignment="1">
      <alignment horizontal="center" vertical="center" textRotation="255"/>
    </xf>
    <xf numFmtId="49" fontId="13" fillId="2" borderId="30" xfId="0" applyNumberFormat="1" applyFont="1" applyFill="1" applyBorder="1" applyAlignment="1">
      <alignment horizontal="center" vertical="center" textRotation="255"/>
    </xf>
    <xf numFmtId="49" fontId="13" fillId="2" borderId="31" xfId="0" applyNumberFormat="1" applyFont="1" applyFill="1" applyBorder="1" applyAlignment="1">
      <alignment horizontal="center" vertical="center" textRotation="255"/>
    </xf>
    <xf numFmtId="49" fontId="13" fillId="2" borderId="45" xfId="0" applyNumberFormat="1" applyFont="1" applyFill="1" applyBorder="1" applyAlignment="1">
      <alignment vertical="center" textRotation="255"/>
    </xf>
    <xf numFmtId="49" fontId="13" fillId="2" borderId="7" xfId="0" applyNumberFormat="1" applyFont="1" applyFill="1" applyBorder="1" applyAlignment="1">
      <alignment vertical="center" textRotation="255"/>
    </xf>
    <xf numFmtId="49" fontId="13" fillId="2" borderId="66" xfId="0" applyNumberFormat="1" applyFont="1" applyFill="1" applyBorder="1" applyAlignment="1">
      <alignment vertical="center" textRotation="255"/>
    </xf>
    <xf numFmtId="49" fontId="17" fillId="0" borderId="83" xfId="0" applyNumberFormat="1" applyFont="1" applyFill="1" applyBorder="1" applyAlignment="1">
      <alignment vertical="center"/>
    </xf>
    <xf numFmtId="49" fontId="17" fillId="0" borderId="53" xfId="0" applyNumberFormat="1" applyFont="1" applyFill="1" applyBorder="1" applyAlignment="1">
      <alignment horizontal="left" vertical="center"/>
    </xf>
    <xf numFmtId="49" fontId="17" fillId="0" borderId="118" xfId="0" applyNumberFormat="1" applyFont="1" applyFill="1" applyBorder="1" applyAlignment="1">
      <alignment horizontal="left" vertical="center"/>
    </xf>
    <xf numFmtId="49" fontId="17" fillId="0" borderId="54" xfId="0" applyNumberFormat="1" applyFont="1" applyFill="1" applyBorder="1" applyAlignment="1" applyProtection="1">
      <alignment horizontal="center" vertical="center"/>
      <protection locked="0"/>
    </xf>
    <xf numFmtId="49" fontId="19" fillId="2" borderId="83" xfId="353" applyNumberFormat="1" applyFont="1" applyFill="1" applyBorder="1" applyAlignment="1">
      <alignment horizontal="left" vertical="center"/>
    </xf>
    <xf numFmtId="49" fontId="19" fillId="2" borderId="53" xfId="353" applyNumberFormat="1" applyFont="1" applyFill="1" applyBorder="1" applyAlignment="1">
      <alignment horizontal="left" vertical="center"/>
    </xf>
    <xf numFmtId="49" fontId="19" fillId="2" borderId="54" xfId="353" applyNumberFormat="1" applyFont="1" applyFill="1" applyBorder="1" applyAlignment="1">
      <alignment horizontal="left" vertical="center"/>
    </xf>
    <xf numFmtId="49" fontId="16" fillId="0" borderId="0" xfId="0" applyNumberFormat="1" applyFont="1" applyBorder="1" applyAlignment="1">
      <alignment horizontal="left" vertical="center" indent="1"/>
    </xf>
    <xf numFmtId="49" fontId="19" fillId="2" borderId="83" xfId="0" applyNumberFormat="1" applyFont="1" applyFill="1" applyBorder="1" applyAlignment="1">
      <alignment horizontal="left" vertical="center"/>
    </xf>
    <xf numFmtId="49" fontId="19" fillId="2" borderId="53" xfId="0" applyNumberFormat="1" applyFont="1" applyFill="1" applyBorder="1" applyAlignment="1">
      <alignment horizontal="left" vertical="center"/>
    </xf>
    <xf numFmtId="49" fontId="19" fillId="2" borderId="54" xfId="0" applyNumberFormat="1" applyFont="1" applyFill="1" applyBorder="1" applyAlignment="1">
      <alignment horizontal="left" vertical="center"/>
    </xf>
    <xf numFmtId="49" fontId="19" fillId="2" borderId="83" xfId="0" applyNumberFormat="1" applyFont="1" applyFill="1" applyBorder="1" applyAlignment="1">
      <alignment horizontal="left" vertical="center" wrapText="1"/>
    </xf>
    <xf numFmtId="49" fontId="19" fillId="2" borderId="53" xfId="0" applyNumberFormat="1" applyFont="1" applyFill="1" applyBorder="1" applyAlignment="1">
      <alignment horizontal="left" vertical="center" wrapText="1"/>
    </xf>
    <xf numFmtId="49" fontId="19" fillId="2" borderId="54" xfId="0" applyNumberFormat="1" applyFont="1" applyFill="1" applyBorder="1" applyAlignment="1">
      <alignment horizontal="left" vertical="center" wrapText="1"/>
    </xf>
    <xf numFmtId="49" fontId="19" fillId="2" borderId="13" xfId="0" applyNumberFormat="1" applyFont="1" applyFill="1" applyBorder="1" applyAlignment="1">
      <alignment horizontal="left" vertical="center"/>
    </xf>
    <xf numFmtId="49" fontId="11" fillId="2" borderId="8" xfId="0" applyNumberFormat="1" applyFont="1" applyFill="1" applyBorder="1" applyAlignment="1">
      <alignment horizontal="center" vertical="center" wrapText="1"/>
    </xf>
    <xf numFmtId="49" fontId="11" fillId="2" borderId="9" xfId="0" applyNumberFormat="1" applyFont="1" applyFill="1" applyBorder="1" applyAlignment="1">
      <alignment horizontal="center" vertical="center" wrapText="1"/>
    </xf>
    <xf numFmtId="49" fontId="18" fillId="0" borderId="117" xfId="0" applyNumberFormat="1" applyFont="1" applyFill="1" applyBorder="1" applyAlignment="1">
      <alignment horizontal="left" vertical="center"/>
    </xf>
    <xf numFmtId="49" fontId="18" fillId="0" borderId="53" xfId="0" applyNumberFormat="1" applyFont="1" applyFill="1" applyBorder="1" applyAlignment="1">
      <alignment horizontal="left" vertical="center"/>
    </xf>
    <xf numFmtId="49" fontId="18" fillId="0" borderId="118" xfId="0" applyNumberFormat="1" applyFont="1" applyFill="1" applyBorder="1" applyAlignment="1">
      <alignment horizontal="left" vertical="center"/>
    </xf>
    <xf numFmtId="49" fontId="18" fillId="0" borderId="119" xfId="0" applyNumberFormat="1" applyFont="1" applyFill="1" applyBorder="1" applyAlignment="1" applyProtection="1">
      <alignment horizontal="center" vertical="center"/>
      <protection locked="0"/>
    </xf>
    <xf numFmtId="49" fontId="18" fillId="0" borderId="13" xfId="0" applyNumberFormat="1" applyFont="1" applyFill="1" applyBorder="1" applyAlignment="1" applyProtection="1">
      <alignment horizontal="center" vertical="center"/>
      <protection locked="0"/>
    </xf>
    <xf numFmtId="49" fontId="17" fillId="0" borderId="62" xfId="0" applyNumberFormat="1" applyFont="1" applyFill="1" applyBorder="1" applyAlignment="1" applyProtection="1">
      <alignment horizontal="center" vertical="center"/>
      <protection locked="0"/>
    </xf>
    <xf numFmtId="49" fontId="17" fillId="0" borderId="58" xfId="0" applyNumberFormat="1" applyFont="1" applyFill="1" applyBorder="1" applyAlignment="1" applyProtection="1">
      <alignment horizontal="center" vertical="center"/>
      <protection locked="0"/>
    </xf>
    <xf numFmtId="49" fontId="17" fillId="0" borderId="117" xfId="0" applyNumberFormat="1" applyFont="1" applyFill="1" applyBorder="1" applyAlignment="1">
      <alignment vertical="center" wrapText="1"/>
    </xf>
    <xf numFmtId="49" fontId="12" fillId="0" borderId="56" xfId="0" applyNumberFormat="1" applyFont="1" applyBorder="1" applyAlignment="1">
      <alignment horizontal="left" vertical="top"/>
    </xf>
    <xf numFmtId="49" fontId="12" fillId="0" borderId="58" xfId="0" applyNumberFormat="1" applyFont="1" applyBorder="1" applyAlignment="1">
      <alignment horizontal="left" vertical="top"/>
    </xf>
    <xf numFmtId="49" fontId="12" fillId="0" borderId="69" xfId="0" applyNumberFormat="1" applyFont="1" applyBorder="1" applyAlignment="1">
      <alignment horizontal="left" vertical="top" wrapText="1"/>
    </xf>
    <xf numFmtId="49" fontId="12" fillId="0" borderId="0" xfId="0" applyNumberFormat="1" applyFont="1" applyBorder="1" applyAlignment="1">
      <alignment horizontal="left" vertical="top" wrapText="1"/>
    </xf>
    <xf numFmtId="49" fontId="12" fillId="0" borderId="7" xfId="0" applyNumberFormat="1" applyFont="1" applyBorder="1" applyAlignment="1">
      <alignment horizontal="left" vertical="top" wrapText="1"/>
    </xf>
    <xf numFmtId="49" fontId="12" fillId="0" borderId="56" xfId="0" applyNumberFormat="1" applyFont="1" applyBorder="1" applyAlignment="1">
      <alignment horizontal="left" vertical="top" wrapText="1"/>
    </xf>
    <xf numFmtId="49" fontId="12" fillId="0" borderId="58" xfId="0" applyNumberFormat="1" applyFont="1" applyBorder="1" applyAlignment="1">
      <alignment horizontal="left" vertical="top" wrapText="1"/>
    </xf>
    <xf numFmtId="0" fontId="11" fillId="2" borderId="8" xfId="0" applyNumberFormat="1" applyFont="1" applyFill="1" applyBorder="1" applyAlignment="1">
      <alignment horizontal="center" vertical="center"/>
    </xf>
    <xf numFmtId="49" fontId="12" fillId="0" borderId="0" xfId="0" applyNumberFormat="1" applyFont="1" applyBorder="1" applyAlignment="1">
      <alignment horizontal="left" vertical="center" wrapText="1"/>
    </xf>
    <xf numFmtId="49" fontId="12" fillId="0" borderId="7" xfId="0" applyNumberFormat="1" applyFont="1" applyBorder="1" applyAlignment="1">
      <alignment horizontal="left" vertical="center" wrapText="1"/>
    </xf>
    <xf numFmtId="49" fontId="12" fillId="0" borderId="56" xfId="0" applyNumberFormat="1" applyFont="1" applyBorder="1" applyAlignment="1">
      <alignment horizontal="left" vertical="center" wrapText="1"/>
    </xf>
    <xf numFmtId="49" fontId="12" fillId="0" borderId="58" xfId="0" applyNumberFormat="1" applyFont="1" applyBorder="1" applyAlignment="1">
      <alignment horizontal="left" vertical="center" wrapText="1"/>
    </xf>
    <xf numFmtId="49" fontId="12" fillId="3" borderId="124" xfId="0" applyNumberFormat="1" applyFont="1" applyFill="1" applyBorder="1" applyAlignment="1">
      <alignment horizontal="left" vertical="center"/>
    </xf>
    <xf numFmtId="49" fontId="12" fillId="3" borderId="125" xfId="0" applyNumberFormat="1" applyFont="1" applyFill="1" applyBorder="1" applyAlignment="1">
      <alignment horizontal="left" vertical="center"/>
    </xf>
    <xf numFmtId="49" fontId="12" fillId="3" borderId="126" xfId="0" applyNumberFormat="1" applyFont="1" applyFill="1" applyBorder="1" applyAlignment="1">
      <alignment horizontal="left" vertical="center"/>
    </xf>
    <xf numFmtId="49" fontId="12" fillId="0" borderId="69" xfId="0" applyNumberFormat="1" applyFont="1" applyBorder="1" applyAlignment="1">
      <alignment horizontal="left" vertical="center" wrapText="1"/>
    </xf>
    <xf numFmtId="49" fontId="12" fillId="0" borderId="121" xfId="0" applyNumberFormat="1" applyFont="1" applyBorder="1" applyAlignment="1">
      <alignment horizontal="left" vertical="top" wrapText="1"/>
    </xf>
    <xf numFmtId="49" fontId="26" fillId="0" borderId="122" xfId="0" applyNumberFormat="1" applyFont="1" applyBorder="1" applyAlignment="1">
      <alignment horizontal="left" vertical="top" wrapText="1"/>
    </xf>
    <xf numFmtId="49" fontId="26" fillId="0" borderId="123" xfId="0" applyNumberFormat="1" applyFont="1" applyBorder="1" applyAlignment="1">
      <alignment horizontal="left" vertical="top" wrapText="1"/>
    </xf>
  </cellXfs>
  <cellStyles count="355">
    <cellStyle name="ハイパーリンク" xfId="201" builtinId="8" hidden="1"/>
    <cellStyle name="ハイパーリンク" xfId="327" builtinId="8" hidden="1"/>
    <cellStyle name="ハイパーリンク" xfId="39" builtinId="8" hidden="1"/>
    <cellStyle name="ハイパーリンク" xfId="117" builtinId="8" hidden="1"/>
    <cellStyle name="ハイパーリンク" xfId="315" builtinId="8" hidden="1"/>
    <cellStyle name="ハイパーリンク" xfId="245" builtinId="8" hidden="1"/>
    <cellStyle name="ハイパーリンク" xfId="275" builtinId="8" hidden="1"/>
    <cellStyle name="ハイパーリンク" xfId="243" builtinId="8" hidden="1"/>
    <cellStyle name="ハイパーリンク" xfId="1" builtinId="8" hidden="1"/>
    <cellStyle name="ハイパーリンク" xfId="247" builtinId="8" hidden="1"/>
    <cellStyle name="ハイパーリンク" xfId="209" builtinId="8" hidden="1"/>
    <cellStyle name="ハイパーリンク" xfId="83" builtinId="8" hidden="1"/>
    <cellStyle name="ハイパーリンク" xfId="233" builtinId="8" hidden="1"/>
    <cellStyle name="ハイパーリンク" xfId="329" builtinId="8" hidden="1"/>
    <cellStyle name="ハイパーリンク" xfId="127" builtinId="8" hidden="1"/>
    <cellStyle name="ハイパーリンク" xfId="257" builtinId="8" hidden="1"/>
    <cellStyle name="ハイパーリンク" xfId="287" builtinId="8" hidden="1"/>
    <cellStyle name="ハイパーリンク" xfId="319" builtinId="8" hidden="1"/>
    <cellStyle name="ハイパーリンク" xfId="289" builtinId="8" hidden="1"/>
    <cellStyle name="ハイパーリンク" xfId="87" builtinId="8" hidden="1"/>
    <cellStyle name="ハイパーリンク" xfId="343" builtinId="8" hidden="1"/>
    <cellStyle name="ハイパーリンク" xfId="123" builtinId="8" hidden="1"/>
    <cellStyle name="ハイパーリンク" xfId="71" builtinId="8" hidden="1"/>
    <cellStyle name="ハイパーリンク" xfId="197" builtinId="8" hidden="1"/>
    <cellStyle name="ハイパーリンク" xfId="137" builtinId="8" hidden="1"/>
    <cellStyle name="ハイパーリンク" xfId="51" builtinId="8" hidden="1"/>
    <cellStyle name="ハイパーリンク" xfId="317" builtinId="8" hidden="1"/>
    <cellStyle name="ハイパーリンク" xfId="301" builtinId="8" hidden="1"/>
    <cellStyle name="ハイパーリンク" xfId="269" builtinId="8" hidden="1"/>
    <cellStyle name="ハイパーリンク" xfId="349" builtinId="8" hidden="1"/>
    <cellStyle name="ハイパーリンク" xfId="19" builtinId="8" hidden="1"/>
    <cellStyle name="ハイパーリンク" xfId="89" builtinId="8" hidden="1"/>
    <cellStyle name="ハイパーリンク" xfId="313" builtinId="8" hidden="1"/>
    <cellStyle name="ハイパーリンク" xfId="75" builtinId="8" hidden="1"/>
    <cellStyle name="ハイパーリンク" xfId="119" builtinId="8" hidden="1"/>
    <cellStyle name="ハイパーリンク" xfId="271" builtinId="8" hidden="1"/>
    <cellStyle name="ハイパーリンク" xfId="7" builtinId="8" hidden="1"/>
    <cellStyle name="ハイパーリンク" xfId="113" builtinId="8" hidden="1"/>
    <cellStyle name="ハイパーリンク" xfId="125" builtinId="8" hidden="1"/>
    <cellStyle name="ハイパーリンク" xfId="251" builtinId="8" hidden="1"/>
    <cellStyle name="ハイパーリンク" xfId="109" builtinId="8" hidden="1"/>
    <cellStyle name="ハイパーリンク" xfId="145" builtinId="8" hidden="1"/>
    <cellStyle name="ハイパーリンク" xfId="13" builtinId="8" hidden="1"/>
    <cellStyle name="ハイパーリンク" xfId="239" builtinId="8" hidden="1"/>
    <cellStyle name="ハイパーリンク" xfId="95" builtinId="8" hidden="1"/>
    <cellStyle name="ハイパーリンク" xfId="91" builtinId="8" hidden="1"/>
    <cellStyle name="ハイパーリンク" xfId="281" builtinId="8" hidden="1"/>
    <cellStyle name="ハイパーリンク" xfId="121" builtinId="8" hidden="1"/>
    <cellStyle name="ハイパーリンク" xfId="293" builtinId="8" hidden="1"/>
    <cellStyle name="ハイパーリンク" xfId="283" builtinId="8" hidden="1"/>
    <cellStyle name="ハイパーリンク" xfId="229" builtinId="8" hidden="1"/>
    <cellStyle name="ハイパーリンク" xfId="285" builtinId="8" hidden="1"/>
    <cellStyle name="ハイパーリンク" xfId="291" builtinId="8" hidden="1"/>
    <cellStyle name="ハイパーリンク" xfId="259" builtinId="8" hidden="1"/>
    <cellStyle name="ハイパーリンク" xfId="85" builtinId="8" hidden="1"/>
    <cellStyle name="ハイパーリンク" xfId="41" builtinId="8" hidden="1"/>
    <cellStyle name="ハイパーリンク" xfId="253" builtinId="8" hidden="1"/>
    <cellStyle name="ハイパーリンク" xfId="341" builtinId="8" hidden="1"/>
    <cellStyle name="ハイパーリンク" xfId="11" builtinId="8" hidden="1"/>
    <cellStyle name="ハイパーリンク" xfId="101" builtinId="8" hidden="1"/>
    <cellStyle name="ハイパーリンク" xfId="215" builtinId="8" hidden="1"/>
    <cellStyle name="ハイパーリンク" xfId="105" builtinId="8" hidden="1"/>
    <cellStyle name="ハイパーリンク" xfId="279" builtinId="8" hidden="1"/>
    <cellStyle name="ハイパーリンク" xfId="27" builtinId="8" hidden="1"/>
    <cellStyle name="ハイパーリンク" xfId="211" builtinId="8" hidden="1"/>
    <cellStyle name="ハイパーリンク" xfId="31" builtinId="8" hidden="1"/>
    <cellStyle name="ハイパーリンク" xfId="9" builtinId="8" hidden="1"/>
    <cellStyle name="ハイパーリンク" xfId="261" builtinId="8" hidden="1"/>
    <cellStyle name="ハイパーリンク" xfId="325" builtinId="8" hidden="1"/>
    <cellStyle name="ハイパーリンク" xfId="3" builtinId="8" hidden="1"/>
    <cellStyle name="ハイパーリンク" xfId="149" builtinId="8" hidden="1"/>
    <cellStyle name="ハイパーリンク" xfId="331" builtinId="8" hidden="1"/>
    <cellStyle name="ハイパーリンク" xfId="307" builtinId="8" hidden="1"/>
    <cellStyle name="ハイパーリンク" xfId="221" builtinId="8" hidden="1"/>
    <cellStyle name="ハイパーリンク" xfId="339" builtinId="8" hidden="1"/>
    <cellStyle name="ハイパーリンク" xfId="323" builtinId="8" hidden="1"/>
    <cellStyle name="ハイパーリンク" xfId="45" builtinId="8" hidden="1"/>
    <cellStyle name="ハイパーリンク" xfId="295" builtinId="8" hidden="1"/>
    <cellStyle name="ハイパーリンク" xfId="135" builtinId="8" hidden="1"/>
    <cellStyle name="ハイパーリンク" xfId="131" builtinId="8" hidden="1"/>
    <cellStyle name="ハイパーリンク" xfId="337" builtinId="8" hidden="1"/>
    <cellStyle name="ハイパーリンク" xfId="53" builtinId="8" hidden="1"/>
    <cellStyle name="ハイパーリンク" xfId="23" builtinId="8" hidden="1"/>
    <cellStyle name="ハイパーリンク" xfId="5" builtinId="8" hidden="1"/>
    <cellStyle name="ハイパーリンク" xfId="219" builtinId="8" hidden="1"/>
    <cellStyle name="ハイパーリンク" xfId="77" builtinId="8" hidden="1"/>
    <cellStyle name="ハイパーリンク" xfId="55" builtinId="8" hidden="1"/>
    <cellStyle name="ハイパーリンク" xfId="33" builtinId="8" hidden="1"/>
    <cellStyle name="ハイパーリンク" xfId="35" builtinId="8" hidden="1"/>
    <cellStyle name="ハイパーリンク" xfId="305" builtinId="8" hidden="1"/>
    <cellStyle name="ハイパーリンク" xfId="79" builtinId="8" hidden="1"/>
    <cellStyle name="ハイパーリンク" xfId="111" builtinId="8" hidden="1"/>
    <cellStyle name="ハイパーリンク" xfId="263" builtinId="8" hidden="1"/>
    <cellStyle name="ハイパーリンク" xfId="17" builtinId="8" hidden="1"/>
    <cellStyle name="ハイパーリンク" xfId="227" builtinId="8" hidden="1"/>
    <cellStyle name="ハイパーリンク" xfId="267" builtinId="8" hidden="1"/>
    <cellStyle name="ハイパーリンク" xfId="237" builtinId="8" hidden="1"/>
    <cellStyle name="ハイパーリンク" xfId="299" builtinId="8" hidden="1"/>
    <cellStyle name="ハイパーリンク" xfId="133" builtinId="8" hidden="1"/>
    <cellStyle name="ハイパーリンク" xfId="49" builtinId="8" hidden="1"/>
    <cellStyle name="ハイパーリンク" xfId="311" builtinId="8" hidden="1"/>
    <cellStyle name="ハイパーリンク" xfId="99" builtinId="8" hidden="1"/>
    <cellStyle name="ハイパーリンク" xfId="213" builtinId="8" hidden="1"/>
    <cellStyle name="ハイパーリンク" xfId="265" builtinId="8" hidden="1"/>
    <cellStyle name="ハイパーリンク" xfId="103" builtinId="8" hidden="1"/>
    <cellStyle name="ハイパーリンク" xfId="351" builtinId="8" hidden="1"/>
    <cellStyle name="ハイパーリンク" xfId="225" builtinId="8" hidden="1"/>
    <cellStyle name="ハイパーリンク" xfId="223" builtinId="8" hidden="1"/>
    <cellStyle name="ハイパーリンク" xfId="255" builtinId="8" hidden="1"/>
    <cellStyle name="ハイパーリンク" xfId="321" builtinId="8" hidden="1"/>
    <cellStyle name="ハイパーリンク" xfId="115" builtinId="8" hidden="1"/>
    <cellStyle name="ハイパーリンク" xfId="297" builtinId="8" hidden="1"/>
    <cellStyle name="ハイパーリンク" xfId="143" builtinId="8" hidden="1"/>
    <cellStyle name="ハイパーリンク" xfId="67" builtinId="8" hidden="1"/>
    <cellStyle name="ハイパーリンク" xfId="107" builtinId="8" hidden="1"/>
    <cellStyle name="ハイパーリンク" xfId="73" builtinId="8" hidden="1"/>
    <cellStyle name="ハイパーリンク" xfId="69" builtinId="8" hidden="1"/>
    <cellStyle name="ハイパーリンク" xfId="347" builtinId="8" hidden="1"/>
    <cellStyle name="ハイパーリンク" xfId="277" builtinId="8" hidden="1"/>
    <cellStyle name="ハイパーリンク" xfId="333" builtinId="8" hidden="1"/>
    <cellStyle name="ハイパーリンク" xfId="309" builtinId="8" hidden="1"/>
    <cellStyle name="ハイパーリンク" xfId="37" builtinId="8" hidden="1"/>
    <cellStyle name="ハイパーリンク" xfId="199" builtinId="8" hidden="1"/>
    <cellStyle name="ハイパーリンク" xfId="249" builtinId="8" hidden="1"/>
    <cellStyle name="ハイパーリンク" xfId="59" builtinId="8" hidden="1"/>
    <cellStyle name="ハイパーリンク" xfId="25" builtinId="8" hidden="1"/>
    <cellStyle name="ハイパーリンク" xfId="43" builtinId="8" hidden="1"/>
    <cellStyle name="ハイパーリンク" xfId="97" builtinId="8" hidden="1"/>
    <cellStyle name="ハイパーリンク" xfId="65" builtinId="8" hidden="1"/>
    <cellStyle name="ハイパーリンク" xfId="61" builtinId="8" hidden="1"/>
    <cellStyle name="ハイパーリンク" xfId="235" builtinId="8" hidden="1"/>
    <cellStyle name="ハイパーリンク" xfId="203" builtinId="8" hidden="1"/>
    <cellStyle name="ハイパーリンク" xfId="47" builtinId="8" hidden="1"/>
    <cellStyle name="ハイパーリンク" xfId="129" builtinId="8" hidden="1"/>
    <cellStyle name="ハイパーリンク" xfId="81" builtinId="8" hidden="1"/>
    <cellStyle name="ハイパーリンク" xfId="21" builtinId="8" hidden="1"/>
    <cellStyle name="ハイパーリンク" xfId="207" builtinId="8" hidden="1"/>
    <cellStyle name="ハイパーリンク" xfId="335" builtinId="8" hidden="1"/>
    <cellStyle name="ハイパーリンク" xfId="205" builtinId="8" hidden="1"/>
    <cellStyle name="ハイパーリンク" xfId="241" builtinId="8" hidden="1"/>
    <cellStyle name="ハイパーリンク" xfId="29" builtinId="8" hidden="1"/>
    <cellStyle name="ハイパーリンク" xfId="93" builtinId="8" hidden="1"/>
    <cellStyle name="ハイパーリンク" xfId="141" builtinId="8" hidden="1"/>
    <cellStyle name="ハイパーリンク" xfId="15" builtinId="8" hidden="1"/>
    <cellStyle name="ハイパーリンク" xfId="147" builtinId="8" hidden="1"/>
    <cellStyle name="ハイパーリンク" xfId="63" builtinId="8" hidden="1"/>
    <cellStyle name="ハイパーリンク" xfId="139" builtinId="8" hidden="1"/>
    <cellStyle name="ハイパーリンク" xfId="273" builtinId="8" hidden="1"/>
    <cellStyle name="ハイパーリンク" xfId="303" builtinId="8" hidden="1"/>
    <cellStyle name="ハイパーリンク" xfId="231" builtinId="8" hidden="1"/>
    <cellStyle name="ハイパーリンク" xfId="217" builtinId="8" hidden="1"/>
    <cellStyle name="ハイパーリンク" xfId="345" builtinId="8" hidden="1"/>
    <cellStyle name="ハイパーリンク" xfId="57" builtinId="8" hidden="1"/>
    <cellStyle name="通貨" xfId="354" builtinId="7"/>
    <cellStyle name="標準" xfId="0" builtinId="0"/>
    <cellStyle name="標準 2" xfId="353" xr:uid="{00000000-0005-0000-0000-00009A000000}"/>
    <cellStyle name="表示済みのハイパーリンク" xfId="216" builtinId="9" hidden="1"/>
    <cellStyle name="表示済みのハイパーリンク" xfId="194" builtinId="9" hidden="1"/>
    <cellStyle name="表示済みのハイパーリンク" xfId="178" builtinId="9" hidden="1"/>
    <cellStyle name="表示済みのハイパーリンク" xfId="170" builtinId="9" hidden="1"/>
    <cellStyle name="表示済みのハイパーリンク" xfId="134" builtinId="9" hidden="1"/>
    <cellStyle name="表示済みのハイパーリンク" xfId="64" builtinId="9" hidden="1"/>
    <cellStyle name="表示済みのハイパーリンク" xfId="240" builtinId="9" hidden="1"/>
    <cellStyle name="表示済みのハイパーリンク" xfId="28" builtinId="9" hidden="1"/>
    <cellStyle name="表示済みのハイパーリンク" xfId="296" builtinId="9" hidden="1"/>
    <cellStyle name="表示済みのハイパーリンク" xfId="175" builtinId="9" hidden="1"/>
    <cellStyle name="表示済みのハイパーリンク" xfId="177" builtinId="9" hidden="1"/>
    <cellStyle name="表示済みのハイパーリンク" xfId="152" builtinId="9" hidden="1"/>
    <cellStyle name="表示済みのハイパーリンク" xfId="157" builtinId="9" hidden="1"/>
    <cellStyle name="表示済みのハイパーリンク" xfId="144" builtinId="9" hidden="1"/>
    <cellStyle name="表示済みのハイパーリンク" xfId="140" builtinId="9" hidden="1"/>
    <cellStyle name="表示済みのハイパーリンク" xfId="151" builtinId="9" hidden="1"/>
    <cellStyle name="表示済みのハイパーリンク" xfId="176" builtinId="9" hidden="1"/>
    <cellStyle name="表示済みのハイパーリンク" xfId="138" builtinId="9" hidden="1"/>
    <cellStyle name="表示済みのハイパーリンク" xfId="160" builtinId="9" hidden="1"/>
    <cellStyle name="表示済みのハイパーリンク" xfId="161" builtinId="9" hidden="1"/>
    <cellStyle name="表示済みのハイパーリンク" xfId="167" builtinId="9" hidden="1"/>
    <cellStyle name="表示済みのハイパーリンク" xfId="250" builtinId="9" hidden="1"/>
    <cellStyle name="表示済みのハイパーリンク" xfId="262" builtinId="9" hidden="1"/>
    <cellStyle name="表示済みのハイパーリンク" xfId="244" builtinId="9" hidden="1"/>
    <cellStyle name="表示済みのハイパーリンク" xfId="236" builtinId="9" hidden="1"/>
    <cellStyle name="表示済みのハイパーリンク" xfId="260" builtinId="9" hidden="1"/>
    <cellStyle name="表示済みのハイパーリンク" xfId="165" builtinId="9" hidden="1"/>
    <cellStyle name="表示済みのハイパーリンク" xfId="156" builtinId="9" hidden="1"/>
    <cellStyle name="表示済みのハイパーリンク" xfId="159" builtinId="9" hidden="1"/>
    <cellStyle name="表示済みのハイパーリンク" xfId="172" builtinId="9" hidden="1"/>
    <cellStyle name="表示済みのハイパーリンク" xfId="142" builtinId="9" hidden="1"/>
    <cellStyle name="表示済みのハイパーリンク" xfId="154" builtinId="9" hidden="1"/>
    <cellStyle name="表示済みのハイパーリンク" xfId="190" builtinId="9" hidden="1"/>
    <cellStyle name="表示済みのハイパーリンク" xfId="120" builtinId="9" hidden="1"/>
    <cellStyle name="表示済みのハイパーリンク" xfId="26" builtinId="9" hidden="1"/>
    <cellStyle name="表示済みのハイパーリンク" xfId="182" builtinId="9" hidden="1"/>
    <cellStyle name="表示済みのハイパーリンク" xfId="183" builtinId="9" hidden="1"/>
    <cellStyle name="表示済みのハイパーリンク" xfId="96" builtinId="9" hidden="1"/>
    <cellStyle name="表示済みのハイパーリンク" xfId="292" builtinId="9" hidden="1"/>
    <cellStyle name="表示済みのハイパーリンク" xfId="169" builtinId="9" hidden="1"/>
    <cellStyle name="表示済みのハイパーリンク" xfId="80" builtinId="9" hidden="1"/>
    <cellStyle name="表示済みのハイパーリンク" xfId="189" builtinId="9" hidden="1"/>
    <cellStyle name="表示済みのハイパーリンク" xfId="110" builtinId="9" hidden="1"/>
    <cellStyle name="表示済みのハイパーリンク" xfId="118" builtinId="9" hidden="1"/>
    <cellStyle name="表示済みのハイパーリンク" xfId="40" builtinId="9" hidden="1"/>
    <cellStyle name="表示済みのハイパーリンク" xfId="2" builtinId="9" hidden="1"/>
    <cellStyle name="表示済みのハイパーリンク" xfId="18" builtinId="9" hidden="1"/>
    <cellStyle name="表示済みのハイパーリンク" xfId="44" builtinId="9" hidden="1"/>
    <cellStyle name="表示済みのハイパーリンク" xfId="210" builtinId="9" hidden="1"/>
    <cellStyle name="表示済みのハイパーリンク" xfId="191" builtinId="9" hidden="1"/>
    <cellStyle name="表示済みのハイパーリンク" xfId="332" builtinId="9" hidden="1"/>
    <cellStyle name="表示済みのハイパーリンク" xfId="86" builtinId="9" hidden="1"/>
    <cellStyle name="表示済みのハイパーリンク" xfId="74" builtinId="9" hidden="1"/>
    <cellStyle name="表示済みのハイパーリンク" xfId="162" builtinId="9" hidden="1"/>
    <cellStyle name="表示済みのハイパーリンク" xfId="224" builtinId="9" hidden="1"/>
    <cellStyle name="表示済みのハイパーリンク" xfId="108" builtinId="9" hidden="1"/>
    <cellStyle name="表示済みのハイパーリンク" xfId="38" builtinId="9" hidden="1"/>
    <cellStyle name="表示済みのハイパーリンク" xfId="204" builtinId="9" hidden="1"/>
    <cellStyle name="表示済みのハイパーリンク" xfId="252" builtinId="9" hidden="1"/>
    <cellStyle name="表示済みのハイパーリンク" xfId="146" builtinId="9" hidden="1"/>
    <cellStyle name="表示済みのハイパーリンク" xfId="155" builtinId="9" hidden="1"/>
    <cellStyle name="表示済みのハイパーリンク" xfId="171" builtinId="9" hidden="1"/>
    <cellStyle name="表示済みのハイパーリンク" xfId="212" builtinId="9" hidden="1"/>
    <cellStyle name="表示済みのハイパーリンク" xfId="34" builtinId="9" hidden="1"/>
    <cellStyle name="表示済みのハイパーリンク" xfId="126" builtinId="9" hidden="1"/>
    <cellStyle name="表示済みのハイパーリンク" xfId="116" builtinId="9" hidden="1"/>
    <cellStyle name="表示済みのハイパーリンク" xfId="88" builtinId="9" hidden="1"/>
    <cellStyle name="表示済みのハイパーリンク" xfId="166" builtinId="9" hidden="1"/>
    <cellStyle name="表示済みのハイパーリンク" xfId="200" builtinId="9" hidden="1"/>
    <cellStyle name="表示済みのハイパーリンク" xfId="328" builtinId="9" hidden="1"/>
    <cellStyle name="表示済みのハイパーリンク" xfId="350" builtinId="9" hidden="1"/>
    <cellStyle name="表示済みのハイパーリンク" xfId="308" builtinId="9" hidden="1"/>
    <cellStyle name="表示済みのハイパーリンク" xfId="180" builtinId="9" hidden="1"/>
    <cellStyle name="表示済みのハイパーリンク" xfId="184" builtinId="9" hidden="1"/>
    <cellStyle name="表示済みのハイパーリンク" xfId="187" builtinId="9" hidden="1"/>
    <cellStyle name="表示済みのハイパーリンク" xfId="150" builtinId="9" hidden="1"/>
    <cellStyle name="表示済みのハイパーリンク" xfId="163" builtinId="9" hidden="1"/>
    <cellStyle name="表示済みのハイパーリンク" xfId="6" builtinId="9" hidden="1"/>
    <cellStyle name="表示済みのハイパーリンク" xfId="342" builtinId="9" hidden="1"/>
    <cellStyle name="表示済みのハイパーリンク" xfId="352" builtinId="9" hidden="1"/>
    <cellStyle name="表示済みのハイパーリンク" xfId="336" builtinId="9" hidden="1"/>
    <cellStyle name="表示済みのハイパーリンク" xfId="290" builtinId="9" hidden="1"/>
    <cellStyle name="表示済みのハイパーリンク" xfId="300" builtinId="9" hidden="1"/>
    <cellStyle name="表示済みのハイパーリンク" xfId="302" builtinId="9" hidden="1"/>
    <cellStyle name="表示済みのハイパーリンク" xfId="282" builtinId="9" hidden="1"/>
    <cellStyle name="表示済みのハイパーリンク" xfId="274" builtinId="9" hidden="1"/>
    <cellStyle name="表示済みのハイパーリンク" xfId="270" builtinId="9" hidden="1"/>
    <cellStyle name="表示済みのハイパーリンク" xfId="294" builtinId="9" hidden="1"/>
    <cellStyle name="表示済みのハイパーリンク" xfId="348" builtinId="9" hidden="1"/>
    <cellStyle name="表示済みのハイパーリンク" xfId="284" builtinId="9" hidden="1"/>
    <cellStyle name="表示済みのハイパーリンク" xfId="208" builtinId="9" hidden="1"/>
    <cellStyle name="表示済みのハイパーリンク" xfId="288" builtinId="9" hidden="1"/>
    <cellStyle name="表示済みのハイパーリンク" xfId="322" builtinId="9" hidden="1"/>
    <cellStyle name="表示済みのハイパーリンク" xfId="326" builtinId="9" hidden="1"/>
    <cellStyle name="表示済みのハイパーリンク" xfId="338" builtinId="9" hidden="1"/>
    <cellStyle name="表示済みのハイパーリンク" xfId="92" builtinId="9" hidden="1"/>
    <cellStyle name="表示済みのハイパーリンク" xfId="104" builtinId="9" hidden="1"/>
    <cellStyle name="表示済みのハイパーリンク" xfId="82" builtinId="9" hidden="1"/>
    <cellStyle name="表示済みのハイパーリンク" xfId="84" builtinId="9" hidden="1"/>
    <cellStyle name="表示済みのハイパーリンク" xfId="76" builtinId="9" hidden="1"/>
    <cellStyle name="表示済みのハイパーリンク" xfId="100" builtinId="9" hidden="1"/>
    <cellStyle name="表示済みのハイパーリンク" xfId="324" builtinId="9" hidden="1"/>
    <cellStyle name="表示済みのハイパーリンク" xfId="72" builtinId="9" hidden="1"/>
    <cellStyle name="表示済みのハイパーリンク" xfId="310" builtinId="9" hidden="1"/>
    <cellStyle name="表示済みのハイパーリンク" xfId="306" builtinId="9" hidden="1"/>
    <cellStyle name="表示済みのハイパーリンク" xfId="346" builtinId="9" hidden="1"/>
    <cellStyle name="表示済みのハイパーリンク" xfId="102" builtinId="9" hidden="1"/>
    <cellStyle name="表示済みのハイパーリンク" xfId="276" builtinId="9" hidden="1"/>
    <cellStyle name="表示済みのハイパーリンク" xfId="298" builtinId="9" hidden="1"/>
    <cellStyle name="表示済みのハイパーリンク" xfId="264" builtinId="9" hidden="1"/>
    <cellStyle name="表示済みのハイパーリンク" xfId="98" builtinId="9" hidden="1"/>
    <cellStyle name="表示済みのハイパーリンク" xfId="238" builtinId="9" hidden="1"/>
    <cellStyle name="表示済みのハイパーリンク" xfId="148" builtinId="9" hidden="1"/>
    <cellStyle name="表示済みのハイパーリンク" xfId="286" builtinId="9" hidden="1"/>
    <cellStyle name="表示済みのハイパーリンク" xfId="186" builtinId="9" hidden="1"/>
    <cellStyle name="表示済みのハイパーリンク" xfId="316" builtinId="9" hidden="1"/>
    <cellStyle name="表示済みのハイパーリンク" xfId="230" builtinId="9" hidden="1"/>
    <cellStyle name="表示済みのハイパーリンク" xfId="94" builtinId="9" hidden="1"/>
    <cellStyle name="表示済みのハイパーリンク" xfId="42" builtinId="9" hidden="1"/>
    <cellStyle name="表示済みのハイパーリンク" xfId="158" builtinId="9" hidden="1"/>
    <cellStyle name="表示済みのハイパーリンク" xfId="195" builtinId="9" hidden="1"/>
    <cellStyle name="表示済みのハイパーリンク" xfId="256" builtinId="9" hidden="1"/>
    <cellStyle name="表示済みのハイパーリンク" xfId="254" builtinId="9" hidden="1"/>
    <cellStyle name="表示済みのハイパーリンク" xfId="234" builtinId="9" hidden="1"/>
    <cellStyle name="表示済みのハイパーリンク" xfId="246" builtinId="9" hidden="1"/>
    <cellStyle name="表示済みのハイパーリンク" xfId="168" builtinId="9" hidden="1"/>
    <cellStyle name="表示済みのハイパーリンク" xfId="193" builtinId="9" hidden="1"/>
    <cellStyle name="表示済みのハイパーリンク" xfId="136" builtinId="9" hidden="1"/>
    <cellStyle name="表示済みのハイパーリンク" xfId="153" builtinId="9" hidden="1"/>
    <cellStyle name="表示済みのハイパーリンク" xfId="173" builtinId="9" hidden="1"/>
    <cellStyle name="表示済みのハイパーリンク" xfId="66" builtinId="9" hidden="1"/>
    <cellStyle name="表示済みのハイパーリンク" xfId="174" builtinId="9" hidden="1"/>
    <cellStyle name="表示済みのハイパーリンク" xfId="248" builtinId="9" hidden="1"/>
    <cellStyle name="表示済みのハイパーリンク" xfId="8" builtinId="9" hidden="1"/>
    <cellStyle name="表示済みのハイパーリンク" xfId="56" builtinId="9" hidden="1"/>
    <cellStyle name="表示済みのハイパーリンク" xfId="220" builtinId="9" hidden="1"/>
    <cellStyle name="表示済みのハイパーリンク" xfId="198" builtinId="9" hidden="1"/>
    <cellStyle name="表示済みのハイパーリンク" xfId="266" builtinId="9" hidden="1"/>
    <cellStyle name="表示済みのハイパーリンク" xfId="318" builtinId="9" hidden="1"/>
    <cellStyle name="表示済みのハイパーリンク" xfId="232" builtinId="9" hidden="1"/>
    <cellStyle name="表示済みのハイパーリンク" xfId="124" builtinId="9" hidden="1"/>
    <cellStyle name="表示済みのハイパーリンク" xfId="258" builtinId="9" hidden="1"/>
    <cellStyle name="表示済みのハイパーリンク" xfId="70" builtinId="9" hidden="1"/>
    <cellStyle name="表示済みのハイパーリンク" xfId="272" builtinId="9" hidden="1"/>
    <cellStyle name="表示済みのハイパーリンク" xfId="58" builtinId="9" hidden="1"/>
    <cellStyle name="表示済みのハイパーリンク" xfId="320" builtinId="9" hidden="1"/>
    <cellStyle name="表示済みのハイパーリンク" xfId="268" builtinId="9" hidden="1"/>
    <cellStyle name="表示済みのハイパーリンク" xfId="278" builtinId="9" hidden="1"/>
    <cellStyle name="表示済みのハイパーリンク" xfId="344" builtinId="9" hidden="1"/>
    <cellStyle name="表示済みのハイパーリンク" xfId="314" builtinId="9" hidden="1"/>
    <cellStyle name="表示済みのハイパーリンク" xfId="90" builtinId="9" hidden="1"/>
    <cellStyle name="表示済みのハイパーリンク" xfId="68" builtinId="9" hidden="1"/>
    <cellStyle name="表示済みのハイパーリンク" xfId="164" builtinId="9" hidden="1"/>
    <cellStyle name="表示済みのハイパーリンク" xfId="242" builtinId="9" hidden="1"/>
    <cellStyle name="表示済みのハイパーリンク" xfId="228" builtinId="9" hidden="1"/>
    <cellStyle name="表示済みのハイパーリンク" xfId="218" builtinId="9" hidden="1"/>
    <cellStyle name="表示済みのハイパーリンク" xfId="181" builtinId="9" hidden="1"/>
    <cellStyle name="表示済みのハイパーリンク" xfId="330" builtinId="9" hidden="1"/>
    <cellStyle name="表示済みのハイパーリンク" xfId="106" builtinId="9" hidden="1"/>
    <cellStyle name="表示済みのハイパーリンク" xfId="62" builtinId="9" hidden="1"/>
    <cellStyle name="表示済みのハイパーリンク" xfId="14" builtinId="9" hidden="1"/>
    <cellStyle name="表示済みのハイパーリンク" xfId="16" builtinId="9" hidden="1"/>
    <cellStyle name="表示済みのハイパーリンク" xfId="50" builtinId="9" hidden="1"/>
    <cellStyle name="表示済みのハイパーリンク" xfId="312" builtinId="9" hidden="1"/>
    <cellStyle name="表示済みのハイパーリンク" xfId="304" builtinId="9" hidden="1"/>
    <cellStyle name="表示済みのハイパーリンク" xfId="280" builtinId="9" hidden="1"/>
    <cellStyle name="表示済みのハイパーリンク" xfId="132" builtinId="9" hidden="1"/>
    <cellStyle name="表示済みのハイパーリンク" xfId="188" builtinId="9" hidden="1"/>
    <cellStyle name="表示済みのハイパーリンク" xfId="334" builtinId="9" hidden="1"/>
    <cellStyle name="表示済みのハイパーリンク" xfId="179" builtinId="9" hidden="1"/>
    <cellStyle name="表示済みのハイパーリンク" xfId="206" builtinId="9" hidden="1"/>
    <cellStyle name="表示済みのハイパーリンク" xfId="12" builtinId="9" hidden="1"/>
    <cellStyle name="表示済みのハイパーリンク" xfId="4" builtinId="9" hidden="1"/>
    <cellStyle name="表示済みのハイパーリンク" xfId="22" builtinId="9" hidden="1"/>
    <cellStyle name="表示済みのハイパーリンク" xfId="52" builtinId="9" hidden="1"/>
    <cellStyle name="表示済みのハイパーリンク" xfId="24" builtinId="9" hidden="1"/>
    <cellStyle name="表示済みのハイパーリンク" xfId="78" builtinId="9" hidden="1"/>
    <cellStyle name="表示済みのハイパーリンク" xfId="30" builtinId="9" hidden="1"/>
    <cellStyle name="表示済みのハイパーリンク" xfId="36" builtinId="9" hidden="1"/>
    <cellStyle name="表示済みのハイパーリンク" xfId="122" builtinId="9" hidden="1"/>
    <cellStyle name="表示済みのハイパーリンク" xfId="114" builtinId="9" hidden="1"/>
    <cellStyle name="表示済みのハイパーリンク" xfId="112" builtinId="9" hidden="1"/>
    <cellStyle name="表示済みのハイパーリンク" xfId="128" builtinId="9" hidden="1"/>
    <cellStyle name="表示済みのハイパーリンク" xfId="32" builtinId="9" hidden="1"/>
    <cellStyle name="表示済みのハイパーリンク" xfId="10" builtinId="9" hidden="1"/>
    <cellStyle name="表示済みのハイパーリンク" xfId="130" builtinId="9" hidden="1"/>
    <cellStyle name="表示済みのハイパーリンク" xfId="185" builtinId="9" hidden="1"/>
    <cellStyle name="表示済みのハイパーリンク" xfId="340" builtinId="9" hidden="1"/>
    <cellStyle name="表示済みのハイパーリンク" xfId="60" builtinId="9" hidden="1"/>
    <cellStyle name="表示済みのハイパーリンク" xfId="48" builtinId="9" hidden="1"/>
    <cellStyle name="表示済みのハイパーリンク" xfId="54" builtinId="9" hidden="1"/>
    <cellStyle name="表示済みのハイパーリンク" xfId="46" builtinId="9" hidden="1"/>
    <cellStyle name="表示済みのハイパーリンク" xfId="20" builtinId="9" hidden="1"/>
    <cellStyle name="表示済みのハイパーリンク" xfId="214" builtinId="9" hidden="1"/>
    <cellStyle name="表示済みのハイパーリンク" xfId="222" builtinId="9" hidden="1"/>
    <cellStyle name="表示済みのハイパーリンク" xfId="226" builtinId="9" hidden="1"/>
    <cellStyle name="表示済みのハイパーリンク" xfId="196" builtinId="9" hidden="1"/>
    <cellStyle name="表示済みのハイパーリンク" xfId="202" builtinId="9" hidden="1"/>
    <cellStyle name="表示済みのハイパーリンク" xfId="192" builtinId="9" hidden="1"/>
  </cellStyles>
  <dxfs count="0"/>
  <tableStyles count="0" defaultPivotStyle="PivotStyleMedium4"/>
  <colors>
    <indexedColors>
      <rgbColor rgb="FF000000"/>
      <rgbColor rgb="FFFFFFFF"/>
      <rgbColor rgb="FFFF0000"/>
      <rgbColor rgb="FF00FF00"/>
      <rgbColor rgb="FF0000FF"/>
      <rgbColor rgb="FFFFFF00"/>
      <rgbColor rgb="FFFF00FF"/>
      <rgbColor rgb="FF00FFFF"/>
      <rgbColor rgb="FF000000"/>
      <rgbColor rgb="FFAAAAAA"/>
      <rgbColor rgb="FFC0C0C0"/>
      <rgbColor rgb="FF515151"/>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_rels/theme1.x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ヒラギノ角ゴ ProN W3"/>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P293"/>
  <sheetViews>
    <sheetView showGridLines="0" tabSelected="1" view="pageBreakPreview" topLeftCell="A9" zoomScale="85" zoomScaleNormal="85" zoomScaleSheetLayoutView="85" zoomScalePageLayoutView="85" workbookViewId="0">
      <selection activeCell="AS39" sqref="AS39:AZ39"/>
    </sheetView>
  </sheetViews>
  <sheetFormatPr baseColWidth="10" defaultColWidth="1.25" defaultRowHeight="13.5" customHeight="1"/>
  <cols>
    <col min="1" max="51" width="1.25" style="2" customWidth="1"/>
    <col min="52" max="52" width="3" style="2" customWidth="1"/>
    <col min="53" max="58" width="1.25" style="2" customWidth="1"/>
    <col min="59" max="59" width="3.375" style="2" customWidth="1"/>
    <col min="60" max="75" width="1.25" style="2" customWidth="1"/>
    <col min="76" max="76" width="5.125" style="2" customWidth="1"/>
    <col min="77" max="78" width="1.25" style="2"/>
    <col min="79" max="79" width="8.625" style="2" hidden="1" customWidth="1"/>
    <col min="80" max="224" width="1.25" style="2"/>
    <col min="225" max="16384" width="1.25" style="1"/>
  </cols>
  <sheetData>
    <row r="1" spans="1:224" ht="13.5" customHeight="1">
      <c r="A1" s="228" t="s">
        <v>0</v>
      </c>
      <c r="B1" s="228"/>
      <c r="C1" s="228"/>
      <c r="D1" s="228"/>
      <c r="E1" s="228"/>
      <c r="F1" s="228"/>
      <c r="G1" s="228"/>
      <c r="H1" s="228"/>
      <c r="I1" s="228"/>
      <c r="J1" s="228"/>
      <c r="K1" s="228"/>
      <c r="L1" s="228"/>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row>
    <row r="2" spans="1:224" ht="13.5" customHeight="1">
      <c r="A2" s="228"/>
      <c r="B2" s="228"/>
      <c r="C2" s="228"/>
      <c r="D2" s="228"/>
      <c r="E2" s="228"/>
      <c r="F2" s="228"/>
      <c r="G2" s="228"/>
      <c r="H2" s="228"/>
      <c r="I2" s="228"/>
      <c r="J2" s="228"/>
      <c r="K2" s="228"/>
      <c r="L2" s="228"/>
      <c r="M2" s="228"/>
      <c r="N2" s="228"/>
      <c r="O2" s="228"/>
      <c r="P2" s="228"/>
      <c r="Q2" s="228"/>
      <c r="R2" s="228"/>
      <c r="S2" s="228"/>
      <c r="T2" s="228"/>
      <c r="U2" s="228"/>
      <c r="V2" s="228"/>
      <c r="W2" s="228"/>
      <c r="X2" s="228"/>
      <c r="Y2" s="228"/>
      <c r="Z2" s="228"/>
      <c r="AA2" s="228"/>
      <c r="AB2" s="228"/>
      <c r="AC2" s="228"/>
      <c r="AD2" s="228"/>
      <c r="AE2" s="228"/>
      <c r="AF2" s="228"/>
      <c r="AG2" s="228"/>
      <c r="AH2" s="228"/>
      <c r="AI2" s="228"/>
      <c r="AJ2" s="228"/>
      <c r="AK2" s="228"/>
      <c r="AL2" s="228"/>
      <c r="AM2" s="228"/>
      <c r="AN2" s="228"/>
      <c r="AO2" s="228"/>
      <c r="AP2" s="228"/>
      <c r="AQ2" s="228"/>
      <c r="AR2" s="228"/>
      <c r="AS2" s="228"/>
      <c r="AT2" s="228"/>
      <c r="AU2" s="228"/>
      <c r="AV2" s="228"/>
      <c r="AW2" s="228"/>
      <c r="AX2" s="228"/>
      <c r="AY2" s="228"/>
      <c r="AZ2" s="228"/>
      <c r="BA2" s="228"/>
      <c r="BB2" s="228"/>
      <c r="BC2" s="228"/>
      <c r="BD2" s="228"/>
      <c r="BE2" s="228"/>
      <c r="BF2" s="228"/>
      <c r="BG2" s="228"/>
      <c r="BH2" s="228"/>
      <c r="BI2" s="228"/>
      <c r="BJ2" s="228"/>
      <c r="BK2" s="228"/>
      <c r="BL2" s="228"/>
      <c r="BM2" s="228"/>
      <c r="BN2" s="228"/>
      <c r="BO2" s="228"/>
      <c r="BP2" s="228"/>
      <c r="BQ2" s="228"/>
      <c r="BR2" s="228"/>
      <c r="BS2" s="228"/>
      <c r="BT2" s="228"/>
      <c r="BU2" s="228"/>
      <c r="BV2" s="228"/>
      <c r="BW2" s="228"/>
      <c r="BX2" s="228"/>
    </row>
    <row r="3" spans="1:224" ht="13.5" customHeight="1">
      <c r="A3" s="228"/>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8"/>
      <c r="AN3" s="228"/>
      <c r="AO3" s="228"/>
      <c r="AP3" s="228"/>
      <c r="AQ3" s="228"/>
      <c r="AR3" s="228"/>
      <c r="AS3" s="228"/>
      <c r="AT3" s="228"/>
      <c r="AU3" s="228"/>
      <c r="AV3" s="228"/>
      <c r="AW3" s="228"/>
      <c r="AX3" s="228"/>
      <c r="AY3" s="228"/>
      <c r="AZ3" s="228"/>
      <c r="BA3" s="228"/>
      <c r="BB3" s="228"/>
      <c r="BC3" s="228"/>
      <c r="BD3" s="228"/>
      <c r="BE3" s="228"/>
      <c r="BF3" s="228"/>
      <c r="BG3" s="228"/>
      <c r="BH3" s="228"/>
      <c r="BI3" s="228"/>
      <c r="BJ3" s="228"/>
      <c r="BK3" s="228"/>
      <c r="BL3" s="228"/>
      <c r="BM3" s="228"/>
      <c r="BN3" s="228"/>
      <c r="BO3" s="228"/>
      <c r="BP3" s="228"/>
      <c r="BQ3" s="228"/>
      <c r="BR3" s="228"/>
      <c r="BS3" s="228"/>
      <c r="BT3" s="228"/>
      <c r="BU3" s="228"/>
      <c r="BV3" s="228"/>
      <c r="BW3" s="228"/>
      <c r="BX3" s="228"/>
    </row>
    <row r="4" spans="1:224" ht="13.5" customHeight="1">
      <c r="A4" s="228"/>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row>
    <row r="5" spans="1:224" ht="13.5" customHeight="1">
      <c r="A5" s="228"/>
      <c r="B5" s="228"/>
      <c r="C5" s="228"/>
      <c r="D5" s="228"/>
      <c r="E5" s="228"/>
      <c r="F5" s="228"/>
      <c r="G5" s="228"/>
      <c r="H5" s="228"/>
      <c r="I5" s="228"/>
      <c r="J5" s="228"/>
      <c r="K5" s="228"/>
      <c r="L5" s="228"/>
      <c r="M5" s="228"/>
      <c r="N5" s="228"/>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row>
    <row r="6" spans="1:224" ht="14.25" customHeight="1">
      <c r="A6" s="139" t="s">
        <v>1</v>
      </c>
      <c r="B6" s="229"/>
      <c r="C6" s="229"/>
      <c r="D6" s="229"/>
      <c r="E6" s="229"/>
      <c r="F6" s="229"/>
      <c r="G6" s="229"/>
      <c r="H6" s="229"/>
      <c r="I6" s="229"/>
      <c r="J6" s="229"/>
      <c r="K6" s="229"/>
      <c r="L6" s="229"/>
      <c r="M6" s="230"/>
      <c r="N6" s="231" t="s">
        <v>2</v>
      </c>
      <c r="O6" s="232"/>
      <c r="P6" s="232"/>
      <c r="Q6" s="232"/>
      <c r="R6" s="232"/>
      <c r="S6" s="232"/>
      <c r="T6" s="232"/>
      <c r="U6" s="232"/>
      <c r="V6" s="232"/>
      <c r="W6" s="233"/>
      <c r="X6" s="139" t="s">
        <v>3</v>
      </c>
      <c r="Y6" s="229"/>
      <c r="Z6" s="229"/>
      <c r="AA6" s="229"/>
      <c r="AB6" s="230"/>
      <c r="AC6" s="234" t="s">
        <v>4</v>
      </c>
      <c r="AD6" s="235"/>
      <c r="AE6" s="235"/>
      <c r="AF6" s="235"/>
      <c r="AG6" s="235"/>
      <c r="AH6" s="235"/>
      <c r="AI6" s="236"/>
      <c r="AJ6" s="234" t="s">
        <v>5</v>
      </c>
      <c r="AK6" s="235"/>
      <c r="AL6" s="235"/>
      <c r="AM6" s="235"/>
      <c r="AN6" s="235"/>
      <c r="AO6" s="235"/>
      <c r="AP6" s="235"/>
      <c r="AQ6" s="235"/>
      <c r="AR6" s="235"/>
      <c r="AS6" s="235"/>
      <c r="AT6" s="235"/>
      <c r="AU6" s="235"/>
      <c r="AV6" s="235"/>
      <c r="AW6" s="235"/>
      <c r="AX6" s="235"/>
      <c r="AY6" s="235"/>
      <c r="AZ6" s="235"/>
      <c r="BA6" s="236"/>
      <c r="BB6" s="237" t="s">
        <v>6</v>
      </c>
      <c r="BC6" s="238"/>
      <c r="BD6" s="238"/>
      <c r="BE6" s="238"/>
      <c r="BF6" s="238"/>
      <c r="BG6" s="238"/>
      <c r="BH6" s="238"/>
      <c r="BI6" s="238"/>
      <c r="BJ6" s="238"/>
      <c r="BK6" s="238"/>
      <c r="BL6" s="238"/>
      <c r="BM6" s="238"/>
      <c r="BN6" s="238"/>
      <c r="BO6" s="238"/>
      <c r="BP6" s="238"/>
      <c r="BQ6" s="238"/>
      <c r="BR6" s="238"/>
      <c r="BS6" s="238"/>
      <c r="BT6" s="238"/>
      <c r="BU6" s="238"/>
      <c r="BV6" s="238"/>
      <c r="BW6" s="238"/>
      <c r="BX6" s="239"/>
      <c r="GT6" s="1"/>
      <c r="GU6" s="1"/>
      <c r="GV6" s="1"/>
      <c r="GW6" s="1"/>
      <c r="GX6" s="1"/>
      <c r="GY6" s="1"/>
      <c r="GZ6" s="1"/>
      <c r="HA6" s="1"/>
      <c r="HB6" s="1"/>
      <c r="HC6" s="1"/>
      <c r="HD6" s="1"/>
      <c r="HE6" s="1"/>
      <c r="HF6" s="1"/>
      <c r="HG6" s="1"/>
      <c r="HH6" s="1"/>
      <c r="HI6" s="1"/>
      <c r="HJ6" s="1"/>
      <c r="HK6" s="1"/>
      <c r="HL6" s="1"/>
      <c r="HM6" s="1"/>
      <c r="HN6" s="1"/>
      <c r="HO6" s="1"/>
      <c r="HP6" s="1"/>
    </row>
    <row r="7" spans="1:224" ht="18.5" customHeight="1">
      <c r="A7" s="250" t="s">
        <v>7</v>
      </c>
      <c r="B7" s="251"/>
      <c r="C7" s="251"/>
      <c r="D7" s="251"/>
      <c r="E7" s="251"/>
      <c r="F7" s="251"/>
      <c r="G7" s="251"/>
      <c r="H7" s="251"/>
      <c r="I7" s="251"/>
      <c r="J7" s="251"/>
      <c r="K7" s="251"/>
      <c r="L7" s="251"/>
      <c r="M7" s="252"/>
      <c r="N7" s="253" t="s">
        <v>8</v>
      </c>
      <c r="O7" s="254"/>
      <c r="P7" s="255"/>
      <c r="Q7" s="256" t="s">
        <v>486</v>
      </c>
      <c r="R7" s="257"/>
      <c r="S7" s="257"/>
      <c r="T7" s="257"/>
      <c r="U7" s="258"/>
      <c r="V7" s="254" t="s">
        <v>10</v>
      </c>
      <c r="W7" s="259"/>
      <c r="X7" s="260" t="s">
        <v>11</v>
      </c>
      <c r="Y7" s="257"/>
      <c r="Z7" s="257"/>
      <c r="AA7" s="257"/>
      <c r="AB7" s="261"/>
      <c r="AC7" s="262" t="s">
        <v>12</v>
      </c>
      <c r="AD7" s="263"/>
      <c r="AE7" s="263"/>
      <c r="AF7" s="263"/>
      <c r="AG7" s="263"/>
      <c r="AH7" s="263"/>
      <c r="AI7" s="264"/>
      <c r="AJ7" s="240" t="s">
        <v>507</v>
      </c>
      <c r="AK7" s="241"/>
      <c r="AL7" s="241"/>
      <c r="AM7" s="241"/>
      <c r="AN7" s="241"/>
      <c r="AO7" s="241"/>
      <c r="AP7" s="241"/>
      <c r="AQ7" s="242"/>
      <c r="AR7" s="243" t="s">
        <v>13</v>
      </c>
      <c r="AS7" s="244"/>
      <c r="AT7" s="245" t="s">
        <v>14</v>
      </c>
      <c r="AU7" s="241"/>
      <c r="AV7" s="241"/>
      <c r="AW7" s="241"/>
      <c r="AX7" s="241"/>
      <c r="AY7" s="242"/>
      <c r="AZ7" s="243" t="s">
        <v>15</v>
      </c>
      <c r="BA7" s="246"/>
      <c r="BB7" s="247" t="s">
        <v>16</v>
      </c>
      <c r="BC7" s="248"/>
      <c r="BD7" s="248"/>
      <c r="BE7" s="248"/>
      <c r="BF7" s="248"/>
      <c r="BG7" s="248"/>
      <c r="BH7" s="248"/>
      <c r="BI7" s="248"/>
      <c r="BJ7" s="248"/>
      <c r="BK7" s="248"/>
      <c r="BL7" s="248"/>
      <c r="BM7" s="248"/>
      <c r="BN7" s="248"/>
      <c r="BO7" s="248"/>
      <c r="BP7" s="248"/>
      <c r="BQ7" s="248"/>
      <c r="BR7" s="248"/>
      <c r="BS7" s="248"/>
      <c r="BT7" s="248"/>
      <c r="BU7" s="248"/>
      <c r="BV7" s="248"/>
      <c r="BW7" s="248"/>
      <c r="BX7" s="249"/>
      <c r="GT7" s="1"/>
      <c r="GU7" s="1"/>
      <c r="GV7" s="1"/>
      <c r="GW7" s="1"/>
      <c r="GX7" s="1"/>
      <c r="GY7" s="1"/>
      <c r="GZ7" s="1"/>
      <c r="HA7" s="1"/>
      <c r="HB7" s="1"/>
      <c r="HC7" s="1"/>
      <c r="HD7" s="1"/>
      <c r="HE7" s="1"/>
      <c r="HF7" s="1"/>
      <c r="HG7" s="1"/>
      <c r="HH7" s="1"/>
      <c r="HI7" s="1"/>
      <c r="HJ7" s="1"/>
      <c r="HK7" s="1"/>
      <c r="HL7" s="1"/>
      <c r="HM7" s="1"/>
      <c r="HN7" s="1"/>
      <c r="HO7" s="1"/>
      <c r="HP7" s="1"/>
    </row>
    <row r="8" spans="1:224" ht="10.25" customHeight="1">
      <c r="A8" s="199"/>
      <c r="B8" s="199"/>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199"/>
      <c r="AF8" s="199"/>
      <c r="AG8" s="199"/>
      <c r="AH8" s="199"/>
      <c r="AI8" s="199"/>
      <c r="AJ8" s="199"/>
      <c r="AK8" s="199"/>
      <c r="AL8" s="199"/>
      <c r="AM8" s="199"/>
      <c r="AN8" s="199"/>
      <c r="AO8" s="199"/>
      <c r="AP8" s="199"/>
      <c r="AQ8" s="199"/>
      <c r="AR8" s="199"/>
      <c r="AS8" s="199"/>
      <c r="AT8" s="199"/>
      <c r="AU8" s="199"/>
      <c r="AV8" s="199"/>
      <c r="AW8" s="199"/>
      <c r="AX8" s="199"/>
      <c r="AY8" s="199"/>
      <c r="AZ8" s="199"/>
      <c r="BA8" s="199"/>
      <c r="BB8" s="199"/>
      <c r="BC8" s="199"/>
      <c r="BD8" s="199"/>
      <c r="BE8" s="199"/>
      <c r="BF8" s="199"/>
      <c r="BG8" s="199"/>
      <c r="BH8" s="199"/>
      <c r="BI8" s="199"/>
      <c r="BJ8" s="199"/>
      <c r="BK8" s="199"/>
      <c r="BL8" s="199"/>
      <c r="BM8" s="199"/>
      <c r="BN8" s="199"/>
      <c r="BO8" s="199"/>
      <c r="BP8" s="199"/>
      <c r="BQ8" s="199"/>
      <c r="BR8" s="199"/>
      <c r="BS8" s="199"/>
      <c r="BT8" s="199"/>
      <c r="BU8" s="199"/>
      <c r="BV8" s="199"/>
      <c r="BW8" s="199"/>
      <c r="BX8" s="199"/>
    </row>
    <row r="9" spans="1:224" ht="10.25" customHeight="1">
      <c r="A9" s="199"/>
      <c r="B9" s="199"/>
      <c r="C9" s="199"/>
      <c r="D9" s="199"/>
      <c r="E9" s="199"/>
      <c r="F9" s="199"/>
      <c r="G9" s="199"/>
      <c r="H9" s="199"/>
      <c r="I9" s="199"/>
      <c r="J9" s="199"/>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199"/>
      <c r="BR9" s="199"/>
      <c r="BS9" s="199"/>
      <c r="BT9" s="199"/>
      <c r="BU9" s="199"/>
      <c r="BV9" s="199"/>
      <c r="BW9" s="199"/>
      <c r="BX9" s="199"/>
      <c r="BY9" s="3"/>
      <c r="BZ9" s="3"/>
    </row>
    <row r="10" spans="1:224" ht="16.25" customHeight="1">
      <c r="A10" s="200" t="s">
        <v>17</v>
      </c>
      <c r="B10" s="201"/>
      <c r="C10" s="201"/>
      <c r="D10" s="201"/>
      <c r="E10" s="201"/>
      <c r="F10" s="201"/>
      <c r="G10" s="201"/>
      <c r="H10" s="201"/>
      <c r="I10" s="201"/>
      <c r="J10" s="202"/>
      <c r="K10" s="203" t="s">
        <v>18</v>
      </c>
      <c r="L10" s="203"/>
      <c r="M10" s="203"/>
      <c r="N10" s="203"/>
      <c r="O10" s="201" t="s">
        <v>19</v>
      </c>
      <c r="P10" s="201"/>
      <c r="Q10" s="203" t="s">
        <v>415</v>
      </c>
      <c r="R10" s="203"/>
      <c r="S10" s="201" t="s">
        <v>21</v>
      </c>
      <c r="T10" s="201"/>
      <c r="U10" s="203" t="s">
        <v>20</v>
      </c>
      <c r="V10" s="203"/>
      <c r="W10" s="201" t="s">
        <v>22</v>
      </c>
      <c r="X10" s="206"/>
      <c r="Y10" s="200" t="s">
        <v>23</v>
      </c>
      <c r="Z10" s="201"/>
      <c r="AA10" s="201"/>
      <c r="AB10" s="201"/>
      <c r="AC10" s="201"/>
      <c r="AD10" s="201"/>
      <c r="AE10" s="201"/>
      <c r="AF10" s="201"/>
      <c r="AG10" s="202"/>
      <c r="AH10" s="204" t="s">
        <v>24</v>
      </c>
      <c r="AI10" s="203"/>
      <c r="AJ10" s="203"/>
      <c r="AK10" s="203"/>
      <c r="AL10" s="203"/>
      <c r="AM10" s="205"/>
      <c r="AN10" s="200" t="s">
        <v>25</v>
      </c>
      <c r="AO10" s="201"/>
      <c r="AP10" s="201"/>
      <c r="AQ10" s="201"/>
      <c r="AR10" s="201"/>
      <c r="AS10" s="201"/>
      <c r="AT10" s="201"/>
      <c r="AU10" s="201"/>
      <c r="AV10" s="202"/>
      <c r="AW10" s="207" t="s">
        <v>26</v>
      </c>
      <c r="AX10" s="208"/>
      <c r="AY10" s="208"/>
      <c r="AZ10" s="209"/>
      <c r="BA10" s="200" t="s">
        <v>27</v>
      </c>
      <c r="BB10" s="201"/>
      <c r="BC10" s="201"/>
      <c r="BD10" s="201"/>
      <c r="BE10" s="201"/>
      <c r="BF10" s="202"/>
      <c r="BG10" s="207" t="s">
        <v>26</v>
      </c>
      <c r="BH10" s="208"/>
      <c r="BI10" s="208"/>
      <c r="BJ10" s="208"/>
      <c r="BK10" s="208"/>
      <c r="BL10" s="208"/>
      <c r="BM10" s="208"/>
      <c r="BN10" s="209"/>
      <c r="BO10" s="200" t="s">
        <v>28</v>
      </c>
      <c r="BP10" s="201"/>
      <c r="BQ10" s="201"/>
      <c r="BR10" s="201"/>
      <c r="BS10" s="201"/>
      <c r="BT10" s="202"/>
      <c r="BU10" s="207" t="s">
        <v>26</v>
      </c>
      <c r="BV10" s="208"/>
      <c r="BW10" s="208"/>
      <c r="BX10" s="209"/>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row>
    <row r="11" spans="1:224" ht="10.25" customHeight="1">
      <c r="A11" s="279"/>
      <c r="B11" s="279"/>
      <c r="C11" s="279"/>
      <c r="D11" s="279"/>
      <c r="E11" s="279"/>
      <c r="F11" s="279"/>
      <c r="G11" s="279"/>
      <c r="H11" s="280"/>
      <c r="I11" s="16"/>
      <c r="J11" s="16"/>
      <c r="K11" s="16"/>
      <c r="L11" s="16"/>
      <c r="M11" s="16"/>
      <c r="N11" s="16"/>
      <c r="O11" s="16"/>
      <c r="P11" s="16"/>
      <c r="Q11" s="16"/>
      <c r="R11" s="16"/>
      <c r="S11" s="16"/>
      <c r="T11" s="16"/>
      <c r="U11" s="16"/>
      <c r="V11" s="16"/>
      <c r="W11" s="16"/>
      <c r="X11" s="16"/>
      <c r="Y11" s="16"/>
      <c r="Z11" s="16"/>
      <c r="AA11" s="13"/>
      <c r="AB11" s="17"/>
      <c r="AC11" s="17"/>
      <c r="AD11" s="16"/>
      <c r="AE11" s="16"/>
      <c r="AF11" s="16"/>
      <c r="AG11" s="16"/>
      <c r="AH11" s="16"/>
      <c r="AI11" s="16"/>
      <c r="AJ11" s="16"/>
      <c r="AK11" s="16"/>
      <c r="AL11" s="16"/>
      <c r="AM11" s="16"/>
      <c r="AN11" s="16"/>
      <c r="AO11" s="16"/>
      <c r="AP11" s="16"/>
      <c r="AQ11" s="16"/>
      <c r="AR11" s="16"/>
      <c r="AS11" s="16"/>
      <c r="AT11" s="16"/>
      <c r="AU11" s="16"/>
      <c r="AV11" s="16"/>
      <c r="AW11" s="13"/>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9"/>
      <c r="BX11" s="19"/>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row>
    <row r="12" spans="1:224" ht="13.5" customHeight="1">
      <c r="A12" s="139" t="s">
        <v>29</v>
      </c>
      <c r="B12" s="229"/>
      <c r="C12" s="229"/>
      <c r="D12" s="229"/>
      <c r="E12" s="229"/>
      <c r="F12" s="229"/>
      <c r="G12" s="281"/>
      <c r="H12" s="267" t="s">
        <v>30</v>
      </c>
      <c r="I12" s="268"/>
      <c r="J12" s="268"/>
      <c r="K12" s="268"/>
      <c r="L12" s="268"/>
      <c r="M12" s="268"/>
      <c r="N12" s="268"/>
      <c r="O12" s="268"/>
      <c r="P12" s="268"/>
      <c r="Q12" s="268"/>
      <c r="R12" s="268"/>
      <c r="S12" s="268"/>
      <c r="T12" s="269"/>
      <c r="U12" s="270" t="s">
        <v>31</v>
      </c>
      <c r="V12" s="271"/>
      <c r="W12" s="271"/>
      <c r="X12" s="271"/>
      <c r="Y12" s="272" t="s">
        <v>19</v>
      </c>
      <c r="Z12" s="272"/>
      <c r="AA12" s="271" t="s">
        <v>32</v>
      </c>
      <c r="AB12" s="271"/>
      <c r="AC12" s="272" t="s">
        <v>21</v>
      </c>
      <c r="AD12" s="278"/>
      <c r="AE12" s="267" t="s">
        <v>33</v>
      </c>
      <c r="AF12" s="268"/>
      <c r="AG12" s="268"/>
      <c r="AH12" s="268"/>
      <c r="AI12" s="268"/>
      <c r="AJ12" s="268"/>
      <c r="AK12" s="268"/>
      <c r="AL12" s="268"/>
      <c r="AM12" s="268"/>
      <c r="AN12" s="268"/>
      <c r="AO12" s="268"/>
      <c r="AP12" s="268"/>
      <c r="AQ12" s="269"/>
      <c r="AR12" s="270" t="s">
        <v>34</v>
      </c>
      <c r="AS12" s="271"/>
      <c r="AT12" s="271"/>
      <c r="AU12" s="271"/>
      <c r="AV12" s="272" t="s">
        <v>19</v>
      </c>
      <c r="AW12" s="272"/>
      <c r="AX12" s="271" t="s">
        <v>35</v>
      </c>
      <c r="AY12" s="271"/>
      <c r="AZ12" s="272" t="s">
        <v>21</v>
      </c>
      <c r="BA12" s="278"/>
      <c r="BB12" s="267"/>
      <c r="BC12" s="268"/>
      <c r="BD12" s="268"/>
      <c r="BE12" s="268"/>
      <c r="BF12" s="268"/>
      <c r="BG12" s="268"/>
      <c r="BH12" s="268"/>
      <c r="BI12" s="268"/>
      <c r="BJ12" s="268"/>
      <c r="BK12" s="268"/>
      <c r="BL12" s="268"/>
      <c r="BM12" s="268"/>
      <c r="BN12" s="269"/>
      <c r="BO12" s="270"/>
      <c r="BP12" s="271"/>
      <c r="BQ12" s="271"/>
      <c r="BR12" s="271"/>
      <c r="BS12" s="272" t="s">
        <v>19</v>
      </c>
      <c r="BT12" s="272"/>
      <c r="BU12" s="271"/>
      <c r="BV12" s="271"/>
      <c r="BW12" s="272" t="s">
        <v>21</v>
      </c>
      <c r="BX12" s="278"/>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row>
    <row r="13" spans="1:224" ht="13.5" customHeight="1">
      <c r="A13" s="143"/>
      <c r="B13" s="282"/>
      <c r="C13" s="282"/>
      <c r="D13" s="282"/>
      <c r="E13" s="282"/>
      <c r="F13" s="282"/>
      <c r="G13" s="283"/>
      <c r="H13" s="273" t="s">
        <v>36</v>
      </c>
      <c r="I13" s="274"/>
      <c r="J13" s="274"/>
      <c r="K13" s="274"/>
      <c r="L13" s="274"/>
      <c r="M13" s="274"/>
      <c r="N13" s="274"/>
      <c r="O13" s="274"/>
      <c r="P13" s="274"/>
      <c r="Q13" s="274"/>
      <c r="R13" s="274"/>
      <c r="S13" s="274"/>
      <c r="T13" s="275"/>
      <c r="U13" s="276" t="s">
        <v>37</v>
      </c>
      <c r="V13" s="277"/>
      <c r="W13" s="277"/>
      <c r="X13" s="277"/>
      <c r="Y13" s="265" t="s">
        <v>19</v>
      </c>
      <c r="Z13" s="265"/>
      <c r="AA13" s="277" t="s">
        <v>38</v>
      </c>
      <c r="AB13" s="277"/>
      <c r="AC13" s="265" t="s">
        <v>21</v>
      </c>
      <c r="AD13" s="266"/>
      <c r="AE13" s="273"/>
      <c r="AF13" s="274"/>
      <c r="AG13" s="274"/>
      <c r="AH13" s="274"/>
      <c r="AI13" s="274"/>
      <c r="AJ13" s="274"/>
      <c r="AK13" s="274"/>
      <c r="AL13" s="274"/>
      <c r="AM13" s="274"/>
      <c r="AN13" s="274"/>
      <c r="AO13" s="274"/>
      <c r="AP13" s="274"/>
      <c r="AQ13" s="275"/>
      <c r="AR13" s="276"/>
      <c r="AS13" s="277"/>
      <c r="AT13" s="277"/>
      <c r="AU13" s="277"/>
      <c r="AV13" s="265" t="s">
        <v>19</v>
      </c>
      <c r="AW13" s="265"/>
      <c r="AX13" s="277"/>
      <c r="AY13" s="277"/>
      <c r="AZ13" s="265" t="s">
        <v>21</v>
      </c>
      <c r="BA13" s="266"/>
      <c r="BB13" s="273"/>
      <c r="BC13" s="274"/>
      <c r="BD13" s="274"/>
      <c r="BE13" s="274"/>
      <c r="BF13" s="274"/>
      <c r="BG13" s="274"/>
      <c r="BH13" s="274"/>
      <c r="BI13" s="274"/>
      <c r="BJ13" s="274"/>
      <c r="BK13" s="274"/>
      <c r="BL13" s="274"/>
      <c r="BM13" s="274"/>
      <c r="BN13" s="275"/>
      <c r="BO13" s="276"/>
      <c r="BP13" s="277"/>
      <c r="BQ13" s="277"/>
      <c r="BR13" s="277"/>
      <c r="BS13" s="265" t="s">
        <v>19</v>
      </c>
      <c r="BT13" s="265"/>
      <c r="BU13" s="277"/>
      <c r="BV13" s="277"/>
      <c r="BW13" s="265" t="s">
        <v>21</v>
      </c>
      <c r="BX13" s="266"/>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row>
    <row r="14" spans="1:224" ht="11" customHeight="1">
      <c r="A14" s="31"/>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HC14" s="1"/>
      <c r="HD14" s="1"/>
      <c r="HE14" s="1"/>
      <c r="HF14" s="1"/>
      <c r="HG14" s="1"/>
      <c r="HH14" s="1"/>
      <c r="HI14" s="1"/>
      <c r="HJ14" s="1"/>
      <c r="HK14" s="1"/>
      <c r="HL14" s="1"/>
      <c r="HM14" s="1"/>
      <c r="HN14" s="1"/>
      <c r="HO14" s="1"/>
      <c r="HP14" s="1"/>
    </row>
    <row r="15" spans="1:224" ht="10.25" customHeight="1">
      <c r="A15" s="284"/>
      <c r="B15" s="285"/>
      <c r="C15" s="285"/>
      <c r="D15" s="285"/>
      <c r="E15" s="285"/>
      <c r="F15" s="286"/>
      <c r="G15" s="286"/>
      <c r="H15" s="287"/>
      <c r="I15" s="287"/>
      <c r="J15" s="287"/>
      <c r="K15" s="287"/>
      <c r="L15" s="287"/>
      <c r="M15" s="287"/>
      <c r="N15" s="287"/>
      <c r="O15" s="287"/>
      <c r="P15" s="287"/>
      <c r="Q15" s="287"/>
      <c r="R15" s="287"/>
      <c r="S15" s="287"/>
      <c r="T15" s="287"/>
      <c r="U15" s="287"/>
      <c r="V15" s="287"/>
      <c r="W15" s="287"/>
      <c r="X15" s="287"/>
      <c r="Y15" s="287"/>
      <c r="Z15" s="287"/>
      <c r="AA15" s="287"/>
      <c r="AB15" s="287"/>
      <c r="AC15" s="287"/>
      <c r="AD15" s="287"/>
      <c r="AE15" s="287"/>
      <c r="AF15" s="287"/>
      <c r="AG15" s="287"/>
      <c r="AH15" s="287"/>
      <c r="AI15" s="287"/>
      <c r="AJ15" s="287"/>
      <c r="AK15" s="287"/>
      <c r="AL15" s="287"/>
      <c r="AM15" s="287"/>
      <c r="AN15" s="287"/>
      <c r="AO15" s="287"/>
      <c r="AP15" s="287"/>
      <c r="AQ15" s="287"/>
      <c r="AR15" s="287"/>
      <c r="AS15" s="287"/>
      <c r="AT15" s="287"/>
      <c r="AU15" s="287"/>
      <c r="AV15" s="287"/>
      <c r="AW15" s="287"/>
      <c r="AX15" s="287"/>
      <c r="AY15" s="287"/>
      <c r="AZ15" s="287"/>
      <c r="BA15" s="287"/>
      <c r="BB15" s="287"/>
      <c r="BC15" s="287"/>
      <c r="BD15" s="287"/>
      <c r="BE15" s="287"/>
      <c r="BF15" s="287"/>
      <c r="BG15" s="287"/>
      <c r="BH15" s="287"/>
      <c r="BI15" s="287"/>
      <c r="BJ15" s="287"/>
      <c r="BK15" s="287"/>
      <c r="BL15" s="287"/>
      <c r="BM15" s="287"/>
      <c r="BN15" s="287"/>
      <c r="BO15" s="287"/>
      <c r="BP15" s="287"/>
      <c r="BQ15" s="287"/>
      <c r="BR15" s="287"/>
      <c r="BS15" s="287"/>
      <c r="BT15" s="287"/>
      <c r="BU15" s="287"/>
      <c r="BV15" s="287"/>
      <c r="BW15" s="287"/>
      <c r="BX15" s="288"/>
      <c r="HI15" s="1"/>
      <c r="HJ15" s="1"/>
      <c r="HK15" s="1"/>
      <c r="HL15" s="1"/>
      <c r="HM15" s="1"/>
      <c r="HN15" s="1"/>
      <c r="HO15" s="1"/>
      <c r="HP15" s="1"/>
    </row>
    <row r="16" spans="1:224" ht="13.5" customHeight="1">
      <c r="A16" s="289" t="s">
        <v>39</v>
      </c>
      <c r="B16" s="290"/>
      <c r="C16" s="293" t="s">
        <v>40</v>
      </c>
      <c r="D16" s="294"/>
      <c r="E16" s="294"/>
      <c r="F16" s="294"/>
      <c r="G16" s="294"/>
      <c r="H16" s="294"/>
      <c r="I16" s="294"/>
      <c r="J16" s="294"/>
      <c r="K16" s="295"/>
      <c r="L16" s="302" t="s">
        <v>41</v>
      </c>
      <c r="M16" s="303"/>
      <c r="N16" s="303"/>
      <c r="O16" s="303"/>
      <c r="P16" s="303"/>
      <c r="Q16" s="303"/>
      <c r="R16" s="303"/>
      <c r="S16" s="303"/>
      <c r="T16" s="303"/>
      <c r="U16" s="303"/>
      <c r="V16" s="303"/>
      <c r="W16" s="303"/>
      <c r="X16" s="303"/>
      <c r="Y16" s="303"/>
      <c r="Z16" s="303"/>
      <c r="AA16" s="303"/>
      <c r="AB16" s="303"/>
      <c r="AC16" s="303"/>
      <c r="AD16" s="303"/>
      <c r="AE16" s="303"/>
      <c r="AF16" s="303"/>
      <c r="AG16" s="303"/>
      <c r="AH16" s="303"/>
      <c r="AI16" s="303"/>
      <c r="AJ16" s="303"/>
      <c r="AK16" s="303"/>
      <c r="AL16" s="304"/>
      <c r="AM16" s="311" t="s">
        <v>42</v>
      </c>
      <c r="AN16" s="294"/>
      <c r="AO16" s="294"/>
      <c r="AP16" s="294"/>
      <c r="AQ16" s="294"/>
      <c r="AR16" s="295"/>
      <c r="AS16" s="311" t="s">
        <v>43</v>
      </c>
      <c r="AT16" s="294"/>
      <c r="AU16" s="294"/>
      <c r="AV16" s="294"/>
      <c r="AW16" s="294"/>
      <c r="AX16" s="294"/>
      <c r="AY16" s="294"/>
      <c r="AZ16" s="314"/>
      <c r="BA16" s="293" t="s">
        <v>44</v>
      </c>
      <c r="BB16" s="294"/>
      <c r="BC16" s="294"/>
      <c r="BD16" s="294"/>
      <c r="BE16" s="294"/>
      <c r="BF16" s="294"/>
      <c r="BG16" s="295"/>
      <c r="BH16" s="311" t="s">
        <v>45</v>
      </c>
      <c r="BI16" s="294"/>
      <c r="BJ16" s="294"/>
      <c r="BK16" s="294"/>
      <c r="BL16" s="314"/>
      <c r="BM16" s="32" t="s">
        <v>46</v>
      </c>
      <c r="BN16" s="33"/>
      <c r="BO16" s="33"/>
      <c r="BP16" s="33"/>
      <c r="BQ16" s="33"/>
      <c r="BR16" s="33"/>
      <c r="BS16" s="33"/>
      <c r="BT16" s="33"/>
      <c r="BU16" s="33"/>
      <c r="BV16" s="33"/>
      <c r="BW16" s="33"/>
      <c r="BX16" s="34"/>
      <c r="HI16" s="1"/>
      <c r="HJ16" s="1"/>
      <c r="HK16" s="1"/>
      <c r="HL16" s="1"/>
      <c r="HM16" s="1"/>
      <c r="HN16" s="1"/>
      <c r="HO16" s="1"/>
      <c r="HP16" s="1"/>
    </row>
    <row r="17" spans="1:224" ht="24" customHeight="1">
      <c r="A17" s="141"/>
      <c r="B17" s="142"/>
      <c r="C17" s="296"/>
      <c r="D17" s="297"/>
      <c r="E17" s="297"/>
      <c r="F17" s="297"/>
      <c r="G17" s="297"/>
      <c r="H17" s="297"/>
      <c r="I17" s="297"/>
      <c r="J17" s="297"/>
      <c r="K17" s="298"/>
      <c r="L17" s="305"/>
      <c r="M17" s="306"/>
      <c r="N17" s="306"/>
      <c r="O17" s="306"/>
      <c r="P17" s="306"/>
      <c r="Q17" s="306"/>
      <c r="R17" s="306"/>
      <c r="S17" s="306"/>
      <c r="T17" s="306"/>
      <c r="U17" s="306"/>
      <c r="V17" s="306"/>
      <c r="W17" s="306"/>
      <c r="X17" s="306"/>
      <c r="Y17" s="306"/>
      <c r="Z17" s="306"/>
      <c r="AA17" s="306"/>
      <c r="AB17" s="306"/>
      <c r="AC17" s="306"/>
      <c r="AD17" s="306"/>
      <c r="AE17" s="306"/>
      <c r="AF17" s="306"/>
      <c r="AG17" s="306"/>
      <c r="AH17" s="306"/>
      <c r="AI17" s="306"/>
      <c r="AJ17" s="306"/>
      <c r="AK17" s="306"/>
      <c r="AL17" s="307"/>
      <c r="AM17" s="312"/>
      <c r="AN17" s="297"/>
      <c r="AO17" s="297"/>
      <c r="AP17" s="297"/>
      <c r="AQ17" s="297"/>
      <c r="AR17" s="298"/>
      <c r="AS17" s="312"/>
      <c r="AT17" s="297"/>
      <c r="AU17" s="297"/>
      <c r="AV17" s="297"/>
      <c r="AW17" s="297"/>
      <c r="AX17" s="297"/>
      <c r="AY17" s="297"/>
      <c r="AZ17" s="315"/>
      <c r="BA17" s="296"/>
      <c r="BB17" s="297"/>
      <c r="BC17" s="297"/>
      <c r="BD17" s="297"/>
      <c r="BE17" s="297"/>
      <c r="BF17" s="297"/>
      <c r="BG17" s="298"/>
      <c r="BH17" s="312"/>
      <c r="BI17" s="297"/>
      <c r="BJ17" s="297"/>
      <c r="BK17" s="297"/>
      <c r="BL17" s="315"/>
      <c r="BM17" s="320" t="s">
        <v>47</v>
      </c>
      <c r="BN17" s="321"/>
      <c r="BO17" s="326" t="s">
        <v>48</v>
      </c>
      <c r="BP17" s="321"/>
      <c r="BQ17" s="326" t="s">
        <v>49</v>
      </c>
      <c r="BR17" s="321"/>
      <c r="BS17" s="329" t="s">
        <v>50</v>
      </c>
      <c r="BT17" s="330"/>
      <c r="BU17" s="326" t="s">
        <v>51</v>
      </c>
      <c r="BV17" s="321"/>
      <c r="BW17" s="326" t="s">
        <v>52</v>
      </c>
      <c r="BX17" s="335"/>
      <c r="HI17" s="1"/>
      <c r="HJ17" s="1"/>
      <c r="HK17" s="1"/>
      <c r="HL17" s="1"/>
      <c r="HM17" s="1"/>
      <c r="HN17" s="1"/>
      <c r="HO17" s="1"/>
      <c r="HP17" s="1"/>
    </row>
    <row r="18" spans="1:224" ht="24" customHeight="1">
      <c r="A18" s="141"/>
      <c r="B18" s="142"/>
      <c r="C18" s="296"/>
      <c r="D18" s="297"/>
      <c r="E18" s="297"/>
      <c r="F18" s="297"/>
      <c r="G18" s="297"/>
      <c r="H18" s="297"/>
      <c r="I18" s="297"/>
      <c r="J18" s="297"/>
      <c r="K18" s="298"/>
      <c r="L18" s="305"/>
      <c r="M18" s="306"/>
      <c r="N18" s="306"/>
      <c r="O18" s="306"/>
      <c r="P18" s="306"/>
      <c r="Q18" s="306"/>
      <c r="R18" s="306"/>
      <c r="S18" s="306"/>
      <c r="T18" s="306"/>
      <c r="U18" s="306"/>
      <c r="V18" s="306"/>
      <c r="W18" s="306"/>
      <c r="X18" s="306"/>
      <c r="Y18" s="306"/>
      <c r="Z18" s="306"/>
      <c r="AA18" s="306"/>
      <c r="AB18" s="306"/>
      <c r="AC18" s="306"/>
      <c r="AD18" s="306"/>
      <c r="AE18" s="306"/>
      <c r="AF18" s="306"/>
      <c r="AG18" s="306"/>
      <c r="AH18" s="306"/>
      <c r="AI18" s="306"/>
      <c r="AJ18" s="306"/>
      <c r="AK18" s="306"/>
      <c r="AL18" s="307"/>
      <c r="AM18" s="312"/>
      <c r="AN18" s="297"/>
      <c r="AO18" s="297"/>
      <c r="AP18" s="297"/>
      <c r="AQ18" s="297"/>
      <c r="AR18" s="298"/>
      <c r="AS18" s="312"/>
      <c r="AT18" s="297"/>
      <c r="AU18" s="297"/>
      <c r="AV18" s="297"/>
      <c r="AW18" s="297"/>
      <c r="AX18" s="297"/>
      <c r="AY18" s="297"/>
      <c r="AZ18" s="315"/>
      <c r="BA18" s="296"/>
      <c r="BB18" s="297"/>
      <c r="BC18" s="297"/>
      <c r="BD18" s="297"/>
      <c r="BE18" s="297"/>
      <c r="BF18" s="297"/>
      <c r="BG18" s="298"/>
      <c r="BH18" s="312"/>
      <c r="BI18" s="297"/>
      <c r="BJ18" s="297"/>
      <c r="BK18" s="297"/>
      <c r="BL18" s="315"/>
      <c r="BM18" s="322"/>
      <c r="BN18" s="323"/>
      <c r="BO18" s="327"/>
      <c r="BP18" s="323"/>
      <c r="BQ18" s="327"/>
      <c r="BR18" s="323"/>
      <c r="BS18" s="331"/>
      <c r="BT18" s="332"/>
      <c r="BU18" s="327"/>
      <c r="BV18" s="323"/>
      <c r="BW18" s="327"/>
      <c r="BX18" s="336"/>
      <c r="HI18" s="1"/>
      <c r="HJ18" s="1"/>
      <c r="HK18" s="1"/>
      <c r="HL18" s="1"/>
      <c r="HM18" s="1"/>
      <c r="HN18" s="1"/>
      <c r="HO18" s="1"/>
      <c r="HP18" s="1"/>
    </row>
    <row r="19" spans="1:224" ht="20">
      <c r="A19" s="291"/>
      <c r="B19" s="292"/>
      <c r="C19" s="299"/>
      <c r="D19" s="300"/>
      <c r="E19" s="300"/>
      <c r="F19" s="300"/>
      <c r="G19" s="300"/>
      <c r="H19" s="300"/>
      <c r="I19" s="300"/>
      <c r="J19" s="300"/>
      <c r="K19" s="301"/>
      <c r="L19" s="308"/>
      <c r="M19" s="309"/>
      <c r="N19" s="309"/>
      <c r="O19" s="309"/>
      <c r="P19" s="309"/>
      <c r="Q19" s="309"/>
      <c r="R19" s="309"/>
      <c r="S19" s="309"/>
      <c r="T19" s="309"/>
      <c r="U19" s="309"/>
      <c r="V19" s="309"/>
      <c r="W19" s="309"/>
      <c r="X19" s="309"/>
      <c r="Y19" s="309"/>
      <c r="Z19" s="309"/>
      <c r="AA19" s="309"/>
      <c r="AB19" s="309"/>
      <c r="AC19" s="309"/>
      <c r="AD19" s="309"/>
      <c r="AE19" s="309"/>
      <c r="AF19" s="309"/>
      <c r="AG19" s="309"/>
      <c r="AH19" s="309"/>
      <c r="AI19" s="309"/>
      <c r="AJ19" s="309"/>
      <c r="AK19" s="309"/>
      <c r="AL19" s="310"/>
      <c r="AM19" s="313"/>
      <c r="AN19" s="300"/>
      <c r="AO19" s="300"/>
      <c r="AP19" s="300"/>
      <c r="AQ19" s="300"/>
      <c r="AR19" s="301"/>
      <c r="AS19" s="313"/>
      <c r="AT19" s="300"/>
      <c r="AU19" s="300"/>
      <c r="AV19" s="300"/>
      <c r="AW19" s="300"/>
      <c r="AX19" s="300"/>
      <c r="AY19" s="300"/>
      <c r="AZ19" s="316"/>
      <c r="BA19" s="299"/>
      <c r="BB19" s="300"/>
      <c r="BC19" s="300"/>
      <c r="BD19" s="300"/>
      <c r="BE19" s="300"/>
      <c r="BF19" s="300"/>
      <c r="BG19" s="301"/>
      <c r="BH19" s="317"/>
      <c r="BI19" s="318"/>
      <c r="BJ19" s="318"/>
      <c r="BK19" s="318"/>
      <c r="BL19" s="319"/>
      <c r="BM19" s="324"/>
      <c r="BN19" s="325"/>
      <c r="BO19" s="328"/>
      <c r="BP19" s="325"/>
      <c r="BQ19" s="328"/>
      <c r="BR19" s="325"/>
      <c r="BS19" s="333"/>
      <c r="BT19" s="334"/>
      <c r="BU19" s="328"/>
      <c r="BV19" s="325"/>
      <c r="BW19" s="328"/>
      <c r="BX19" s="337"/>
      <c r="HI19" s="1"/>
      <c r="HJ19" s="1"/>
      <c r="HK19" s="1"/>
      <c r="HL19" s="1"/>
      <c r="HM19" s="1"/>
      <c r="HN19" s="1"/>
      <c r="HO19" s="1"/>
      <c r="HP19" s="1"/>
    </row>
    <row r="20" spans="1:224" ht="57" customHeight="1">
      <c r="A20" s="51">
        <v>1</v>
      </c>
      <c r="B20" s="52"/>
      <c r="C20" s="57" t="s">
        <v>480</v>
      </c>
      <c r="D20" s="58"/>
      <c r="E20" s="58"/>
      <c r="F20" s="59" t="s">
        <v>19</v>
      </c>
      <c r="G20" s="59"/>
      <c r="H20" s="60" t="s">
        <v>333</v>
      </c>
      <c r="I20" s="60"/>
      <c r="J20" s="59" t="s">
        <v>55</v>
      </c>
      <c r="K20" s="61"/>
      <c r="L20" s="62" t="s">
        <v>523</v>
      </c>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4"/>
      <c r="AM20" s="163" t="s">
        <v>487</v>
      </c>
      <c r="AN20" s="66"/>
      <c r="AO20" s="66"/>
      <c r="AP20" s="66"/>
      <c r="AQ20" s="66"/>
      <c r="AR20" s="67"/>
      <c r="AS20" s="163" t="s">
        <v>478</v>
      </c>
      <c r="AT20" s="164"/>
      <c r="AU20" s="164"/>
      <c r="AV20" s="164"/>
      <c r="AW20" s="164"/>
      <c r="AX20" s="164"/>
      <c r="AY20" s="164"/>
      <c r="AZ20" s="165"/>
      <c r="BA20" s="379" t="s">
        <v>509</v>
      </c>
      <c r="BB20" s="380"/>
      <c r="BC20" s="380"/>
      <c r="BD20" s="380"/>
      <c r="BE20" s="380"/>
      <c r="BF20" s="380"/>
      <c r="BG20" s="381"/>
      <c r="BH20" s="102" t="s">
        <v>59</v>
      </c>
      <c r="BI20" s="84"/>
      <c r="BJ20" s="84"/>
      <c r="BK20" s="84"/>
      <c r="BL20" s="85"/>
      <c r="BM20" s="103" t="s">
        <v>60</v>
      </c>
      <c r="BN20" s="104"/>
      <c r="BO20" s="109" t="s">
        <v>61</v>
      </c>
      <c r="BP20" s="104"/>
      <c r="BQ20" s="109" t="s">
        <v>61</v>
      </c>
      <c r="BR20" s="104"/>
      <c r="BS20" s="112" t="s">
        <v>62</v>
      </c>
      <c r="BT20" s="113"/>
      <c r="BU20" s="109" t="s">
        <v>62</v>
      </c>
      <c r="BV20" s="104"/>
      <c r="BW20" s="109" t="s">
        <v>62</v>
      </c>
      <c r="BX20" s="118"/>
      <c r="CA20" s="5">
        <f>DATEVALUE(C20&amp;F20&amp;H20&amp;J20)</f>
        <v>44621</v>
      </c>
      <c r="HI20" s="1"/>
      <c r="HJ20" s="1"/>
      <c r="HK20" s="1"/>
      <c r="HL20" s="1"/>
      <c r="HM20" s="1"/>
      <c r="HN20" s="1"/>
      <c r="HO20" s="1"/>
      <c r="HP20" s="1"/>
    </row>
    <row r="21" spans="1:224" ht="56" customHeight="1">
      <c r="A21" s="53"/>
      <c r="B21" s="54"/>
      <c r="C21" s="121" t="s">
        <v>63</v>
      </c>
      <c r="D21" s="122"/>
      <c r="E21" s="122"/>
      <c r="F21" s="122"/>
      <c r="G21" s="122"/>
      <c r="H21" s="122"/>
      <c r="I21" s="122"/>
      <c r="J21" s="122"/>
      <c r="K21" s="123"/>
      <c r="L21" s="188" t="s">
        <v>524</v>
      </c>
      <c r="M21" s="188"/>
      <c r="N21" s="188"/>
      <c r="O21" s="188"/>
      <c r="P21" s="188"/>
      <c r="Q21" s="188"/>
      <c r="R21" s="188"/>
      <c r="S21" s="188"/>
      <c r="T21" s="188"/>
      <c r="U21" s="188"/>
      <c r="V21" s="188"/>
      <c r="W21" s="188"/>
      <c r="X21" s="188"/>
      <c r="Y21" s="188"/>
      <c r="Z21" s="188"/>
      <c r="AA21" s="188"/>
      <c r="AB21" s="188"/>
      <c r="AC21" s="188"/>
      <c r="AD21" s="188"/>
      <c r="AE21" s="188"/>
      <c r="AF21" s="188"/>
      <c r="AG21" s="188"/>
      <c r="AH21" s="188"/>
      <c r="AI21" s="188"/>
      <c r="AJ21" s="188"/>
      <c r="AK21" s="188"/>
      <c r="AL21" s="378"/>
      <c r="AM21" s="77"/>
      <c r="AN21" s="78"/>
      <c r="AO21" s="78"/>
      <c r="AP21" s="78"/>
      <c r="AQ21" s="78"/>
      <c r="AR21" s="79"/>
      <c r="AS21" s="80" t="s">
        <v>488</v>
      </c>
      <c r="AT21" s="81"/>
      <c r="AU21" s="81"/>
      <c r="AV21" s="81"/>
      <c r="AW21" s="81"/>
      <c r="AX21" s="81"/>
      <c r="AY21" s="81"/>
      <c r="AZ21" s="82"/>
      <c r="BA21" s="375" t="s">
        <v>489</v>
      </c>
      <c r="BB21" s="376"/>
      <c r="BC21" s="376"/>
      <c r="BD21" s="376"/>
      <c r="BE21" s="376"/>
      <c r="BF21" s="376"/>
      <c r="BG21" s="377"/>
      <c r="BH21" s="124" t="s">
        <v>421</v>
      </c>
      <c r="BI21" s="125"/>
      <c r="BJ21" s="125"/>
      <c r="BK21" s="125"/>
      <c r="BL21" s="126"/>
      <c r="BM21" s="105"/>
      <c r="BN21" s="106"/>
      <c r="BO21" s="110"/>
      <c r="BP21" s="106"/>
      <c r="BQ21" s="110"/>
      <c r="BR21" s="106"/>
      <c r="BS21" s="114"/>
      <c r="BT21" s="115"/>
      <c r="BU21" s="110"/>
      <c r="BV21" s="106"/>
      <c r="BW21" s="110"/>
      <c r="BX21" s="119"/>
      <c r="HI21" s="1"/>
      <c r="HJ21" s="1"/>
      <c r="HK21" s="1"/>
      <c r="HL21" s="1"/>
      <c r="HM21" s="1"/>
      <c r="HN21" s="1"/>
      <c r="HO21" s="1"/>
      <c r="HP21" s="1"/>
    </row>
    <row r="22" spans="1:224" ht="67" customHeight="1">
      <c r="A22" s="53"/>
      <c r="B22" s="54"/>
      <c r="C22" s="127" t="s">
        <v>480</v>
      </c>
      <c r="D22" s="128"/>
      <c r="E22" s="128"/>
      <c r="F22" s="129" t="s">
        <v>19</v>
      </c>
      <c r="G22" s="129"/>
      <c r="H22" s="130" t="s">
        <v>140</v>
      </c>
      <c r="I22" s="130"/>
      <c r="J22" s="129" t="s">
        <v>55</v>
      </c>
      <c r="K22" s="131"/>
      <c r="L22" s="371"/>
      <c r="M22" s="371"/>
      <c r="N22" s="371"/>
      <c r="O22" s="371"/>
      <c r="P22" s="371"/>
      <c r="Q22" s="371"/>
      <c r="R22" s="371"/>
      <c r="S22" s="371"/>
      <c r="T22" s="371"/>
      <c r="U22" s="371"/>
      <c r="V22" s="371"/>
      <c r="W22" s="371"/>
      <c r="X22" s="371"/>
      <c r="Y22" s="371"/>
      <c r="Z22" s="371"/>
      <c r="AA22" s="371"/>
      <c r="AB22" s="371"/>
      <c r="AC22" s="371"/>
      <c r="AD22" s="371"/>
      <c r="AE22" s="371"/>
      <c r="AF22" s="371"/>
      <c r="AG22" s="371"/>
      <c r="AH22" s="371"/>
      <c r="AI22" s="371"/>
      <c r="AJ22" s="371"/>
      <c r="AK22" s="371"/>
      <c r="AL22" s="372"/>
      <c r="AM22" s="77"/>
      <c r="AN22" s="78"/>
      <c r="AO22" s="78"/>
      <c r="AP22" s="78"/>
      <c r="AQ22" s="78"/>
      <c r="AR22" s="79"/>
      <c r="AS22" s="80" t="s">
        <v>517</v>
      </c>
      <c r="AT22" s="81"/>
      <c r="AU22" s="81"/>
      <c r="AV22" s="81"/>
      <c r="AW22" s="81"/>
      <c r="AX22" s="81"/>
      <c r="AY22" s="81"/>
      <c r="AZ22" s="82"/>
      <c r="BA22" s="77" t="s">
        <v>491</v>
      </c>
      <c r="BB22" s="78"/>
      <c r="BC22" s="78"/>
      <c r="BD22" s="78"/>
      <c r="BE22" s="78"/>
      <c r="BF22" s="78"/>
      <c r="BG22" s="79"/>
      <c r="BH22" s="124" t="s">
        <v>68</v>
      </c>
      <c r="BI22" s="125"/>
      <c r="BJ22" s="125"/>
      <c r="BK22" s="125"/>
      <c r="BL22" s="126"/>
      <c r="BM22" s="105"/>
      <c r="BN22" s="106"/>
      <c r="BO22" s="110"/>
      <c r="BP22" s="106"/>
      <c r="BQ22" s="110"/>
      <c r="BR22" s="106"/>
      <c r="BS22" s="114"/>
      <c r="BT22" s="115"/>
      <c r="BU22" s="110"/>
      <c r="BV22" s="106"/>
      <c r="BW22" s="110"/>
      <c r="BX22" s="119"/>
      <c r="CA22" s="5">
        <f>DATEVALUE(C22&amp;F22&amp;H22&amp;J22)</f>
        <v>44713</v>
      </c>
      <c r="HI22" s="1"/>
      <c r="HJ22" s="1"/>
      <c r="HK22" s="1"/>
      <c r="HL22" s="1"/>
      <c r="HM22" s="1"/>
      <c r="HN22" s="1"/>
      <c r="HO22" s="1"/>
      <c r="HP22" s="1"/>
    </row>
    <row r="23" spans="1:224" ht="77" customHeight="1">
      <c r="A23" s="53"/>
      <c r="B23" s="54"/>
      <c r="C23" s="136"/>
      <c r="D23" s="137"/>
      <c r="E23" s="137"/>
      <c r="F23" s="137"/>
      <c r="G23" s="137"/>
      <c r="H23" s="137"/>
      <c r="I23" s="137"/>
      <c r="J23" s="137"/>
      <c r="K23" s="138"/>
      <c r="L23" s="132" t="s">
        <v>525</v>
      </c>
      <c r="M23" s="75"/>
      <c r="N23" s="75"/>
      <c r="O23" s="75"/>
      <c r="P23" s="75"/>
      <c r="Q23" s="75"/>
      <c r="R23" s="75"/>
      <c r="S23" s="75"/>
      <c r="T23" s="75"/>
      <c r="U23" s="75"/>
      <c r="V23" s="75"/>
      <c r="W23" s="75"/>
      <c r="X23" s="75"/>
      <c r="Y23" s="75"/>
      <c r="Z23" s="75"/>
      <c r="AA23" s="75"/>
      <c r="AB23" s="75"/>
      <c r="AC23" s="75"/>
      <c r="AD23" s="75"/>
      <c r="AE23" s="75"/>
      <c r="AF23" s="75"/>
      <c r="AG23" s="75"/>
      <c r="AH23" s="75"/>
      <c r="AI23" s="75"/>
      <c r="AJ23" s="75"/>
      <c r="AK23" s="75"/>
      <c r="AL23" s="76"/>
      <c r="AM23" s="77"/>
      <c r="AN23" s="78"/>
      <c r="AO23" s="78"/>
      <c r="AP23" s="78"/>
      <c r="AQ23" s="78"/>
      <c r="AR23" s="79"/>
      <c r="AS23" s="80" t="s">
        <v>510</v>
      </c>
      <c r="AT23" s="81"/>
      <c r="AU23" s="81"/>
      <c r="AV23" s="81"/>
      <c r="AW23" s="81"/>
      <c r="AX23" s="81"/>
      <c r="AY23" s="81"/>
      <c r="AZ23" s="82"/>
      <c r="BA23" s="80" t="s">
        <v>518</v>
      </c>
      <c r="BB23" s="78"/>
      <c r="BC23" s="78"/>
      <c r="BD23" s="78"/>
      <c r="BE23" s="78"/>
      <c r="BF23" s="78"/>
      <c r="BG23" s="79"/>
      <c r="BH23" s="68"/>
      <c r="BI23" s="69"/>
      <c r="BJ23" s="69"/>
      <c r="BK23" s="69"/>
      <c r="BL23" s="70"/>
      <c r="BM23" s="105"/>
      <c r="BN23" s="106"/>
      <c r="BO23" s="110"/>
      <c r="BP23" s="106"/>
      <c r="BQ23" s="110"/>
      <c r="BR23" s="106"/>
      <c r="BS23" s="114"/>
      <c r="BT23" s="115"/>
      <c r="BU23" s="110"/>
      <c r="BV23" s="106"/>
      <c r="BW23" s="110"/>
      <c r="BX23" s="119"/>
    </row>
    <row r="24" spans="1:224" ht="54" customHeight="1">
      <c r="A24" s="53"/>
      <c r="B24" s="54"/>
      <c r="C24" s="71"/>
      <c r="D24" s="72"/>
      <c r="E24" s="72"/>
      <c r="F24" s="72"/>
      <c r="G24" s="72"/>
      <c r="H24" s="72"/>
      <c r="I24" s="72"/>
      <c r="J24" s="72"/>
      <c r="K24" s="73"/>
      <c r="L24" s="371" t="s">
        <v>526</v>
      </c>
      <c r="M24" s="371"/>
      <c r="N24" s="371"/>
      <c r="O24" s="371"/>
      <c r="P24" s="371"/>
      <c r="Q24" s="371"/>
      <c r="R24" s="371"/>
      <c r="S24" s="371"/>
      <c r="T24" s="371"/>
      <c r="U24" s="371"/>
      <c r="V24" s="371"/>
      <c r="W24" s="371"/>
      <c r="X24" s="371"/>
      <c r="Y24" s="371"/>
      <c r="Z24" s="371"/>
      <c r="AA24" s="371"/>
      <c r="AB24" s="371"/>
      <c r="AC24" s="371"/>
      <c r="AD24" s="371"/>
      <c r="AE24" s="371"/>
      <c r="AF24" s="371"/>
      <c r="AG24" s="371"/>
      <c r="AH24" s="371"/>
      <c r="AI24" s="371"/>
      <c r="AJ24" s="371"/>
      <c r="AK24" s="371"/>
      <c r="AL24" s="372"/>
      <c r="AM24" s="77"/>
      <c r="AN24" s="78"/>
      <c r="AO24" s="78"/>
      <c r="AP24" s="78"/>
      <c r="AQ24" s="78"/>
      <c r="AR24" s="79"/>
      <c r="AS24" s="80"/>
      <c r="AT24" s="81"/>
      <c r="AU24" s="81"/>
      <c r="AV24" s="81"/>
      <c r="AW24" s="81"/>
      <c r="AX24" s="81"/>
      <c r="AY24" s="81"/>
      <c r="AZ24" s="82"/>
      <c r="BA24" s="77" t="s">
        <v>502</v>
      </c>
      <c r="BB24" s="78"/>
      <c r="BC24" s="78"/>
      <c r="BD24" s="78"/>
      <c r="BE24" s="78"/>
      <c r="BF24" s="78"/>
      <c r="BG24" s="79"/>
      <c r="BH24" s="83" t="s">
        <v>74</v>
      </c>
      <c r="BI24" s="84"/>
      <c r="BJ24" s="84"/>
      <c r="BK24" s="84"/>
      <c r="BL24" s="85"/>
      <c r="BM24" s="105"/>
      <c r="BN24" s="106"/>
      <c r="BO24" s="110"/>
      <c r="BP24" s="106"/>
      <c r="BQ24" s="110"/>
      <c r="BR24" s="106"/>
      <c r="BS24" s="114"/>
      <c r="BT24" s="115"/>
      <c r="BU24" s="110"/>
      <c r="BV24" s="106"/>
      <c r="BW24" s="110"/>
      <c r="BX24" s="119"/>
    </row>
    <row r="25" spans="1:224" ht="23.25" customHeight="1">
      <c r="A25" s="55"/>
      <c r="B25" s="56"/>
      <c r="C25" s="86"/>
      <c r="D25" s="87"/>
      <c r="E25" s="87"/>
      <c r="F25" s="88" t="s">
        <v>19</v>
      </c>
      <c r="G25" s="88"/>
      <c r="H25" s="87">
        <v>4</v>
      </c>
      <c r="I25" s="87"/>
      <c r="J25" s="88" t="s">
        <v>75</v>
      </c>
      <c r="K25" s="89"/>
      <c r="L25" s="373"/>
      <c r="M25" s="373"/>
      <c r="N25" s="373"/>
      <c r="O25" s="373"/>
      <c r="P25" s="373"/>
      <c r="Q25" s="373"/>
      <c r="R25" s="373"/>
      <c r="S25" s="373"/>
      <c r="T25" s="373"/>
      <c r="U25" s="373"/>
      <c r="V25" s="373"/>
      <c r="W25" s="373"/>
      <c r="X25" s="373"/>
      <c r="Y25" s="373"/>
      <c r="Z25" s="373"/>
      <c r="AA25" s="373"/>
      <c r="AB25" s="373"/>
      <c r="AC25" s="373"/>
      <c r="AD25" s="373"/>
      <c r="AE25" s="373"/>
      <c r="AF25" s="373"/>
      <c r="AG25" s="373"/>
      <c r="AH25" s="373"/>
      <c r="AI25" s="373"/>
      <c r="AJ25" s="373"/>
      <c r="AK25" s="373"/>
      <c r="AL25" s="374"/>
      <c r="AM25" s="93"/>
      <c r="AN25" s="94"/>
      <c r="AO25" s="94"/>
      <c r="AP25" s="94"/>
      <c r="AQ25" s="94"/>
      <c r="AR25" s="95"/>
      <c r="AS25" s="96"/>
      <c r="AT25" s="97"/>
      <c r="AU25" s="97"/>
      <c r="AV25" s="97"/>
      <c r="AW25" s="97"/>
      <c r="AX25" s="97"/>
      <c r="AY25" s="97"/>
      <c r="AZ25" s="98"/>
      <c r="BA25" s="93" t="s">
        <v>504</v>
      </c>
      <c r="BB25" s="94"/>
      <c r="BC25" s="94"/>
      <c r="BD25" s="94"/>
      <c r="BE25" s="94"/>
      <c r="BF25" s="94"/>
      <c r="BG25" s="95"/>
      <c r="BH25" s="99" t="s">
        <v>76</v>
      </c>
      <c r="BI25" s="100"/>
      <c r="BJ25" s="100"/>
      <c r="BK25" s="100"/>
      <c r="BL25" s="101"/>
      <c r="BM25" s="107"/>
      <c r="BN25" s="108"/>
      <c r="BO25" s="111"/>
      <c r="BP25" s="108"/>
      <c r="BQ25" s="111"/>
      <c r="BR25" s="108"/>
      <c r="BS25" s="116"/>
      <c r="BT25" s="117"/>
      <c r="BU25" s="111"/>
      <c r="BV25" s="108"/>
      <c r="BW25" s="111"/>
      <c r="BX25" s="120"/>
      <c r="CA25" s="5"/>
    </row>
    <row r="26" spans="1:224" ht="32" customHeight="1">
      <c r="A26" s="51" t="s">
        <v>492</v>
      </c>
      <c r="B26" s="52"/>
      <c r="C26" s="57" t="s">
        <v>53</v>
      </c>
      <c r="D26" s="58"/>
      <c r="E26" s="58"/>
      <c r="F26" s="59" t="s">
        <v>19</v>
      </c>
      <c r="G26" s="59"/>
      <c r="H26" s="60" t="s">
        <v>78</v>
      </c>
      <c r="I26" s="60"/>
      <c r="J26" s="59" t="s">
        <v>55</v>
      </c>
      <c r="K26" s="61"/>
      <c r="L26" s="62" t="s">
        <v>482</v>
      </c>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4"/>
      <c r="AM26" s="65" t="s">
        <v>476</v>
      </c>
      <c r="AN26" s="66"/>
      <c r="AO26" s="66"/>
      <c r="AP26" s="66"/>
      <c r="AQ26" s="66"/>
      <c r="AR26" s="67"/>
      <c r="AS26" s="163" t="s">
        <v>472</v>
      </c>
      <c r="AT26" s="164"/>
      <c r="AU26" s="164"/>
      <c r="AV26" s="164"/>
      <c r="AW26" s="164"/>
      <c r="AX26" s="164"/>
      <c r="AY26" s="164"/>
      <c r="AZ26" s="165"/>
      <c r="BA26" s="65" t="s">
        <v>475</v>
      </c>
      <c r="BB26" s="66"/>
      <c r="BC26" s="66"/>
      <c r="BD26" s="66"/>
      <c r="BE26" s="66"/>
      <c r="BF26" s="66"/>
      <c r="BG26" s="67"/>
      <c r="BH26" s="102" t="s">
        <v>59</v>
      </c>
      <c r="BI26" s="84"/>
      <c r="BJ26" s="84"/>
      <c r="BK26" s="84"/>
      <c r="BL26" s="85"/>
      <c r="BM26" s="103" t="s">
        <v>60</v>
      </c>
      <c r="BN26" s="104"/>
      <c r="BO26" s="109" t="s">
        <v>61</v>
      </c>
      <c r="BP26" s="104"/>
      <c r="BQ26" s="109" t="s">
        <v>62</v>
      </c>
      <c r="BR26" s="104"/>
      <c r="BS26" s="112" t="s">
        <v>62</v>
      </c>
      <c r="BT26" s="113"/>
      <c r="BU26" s="109" t="s">
        <v>62</v>
      </c>
      <c r="BV26" s="104"/>
      <c r="BW26" s="109" t="s">
        <v>62</v>
      </c>
      <c r="BX26" s="118"/>
      <c r="CA26" s="5">
        <f>DATEVALUE(C26&amp;F26&amp;H26&amp;J26)</f>
        <v>44531</v>
      </c>
      <c r="HI26" s="1"/>
      <c r="HJ26" s="1"/>
      <c r="HK26" s="1"/>
      <c r="HL26" s="1"/>
      <c r="HM26" s="1"/>
      <c r="HN26" s="1"/>
      <c r="HO26" s="1"/>
      <c r="HP26" s="1"/>
    </row>
    <row r="27" spans="1:224" ht="15.75" customHeight="1">
      <c r="A27" s="53"/>
      <c r="B27" s="54"/>
      <c r="C27" s="121" t="s">
        <v>63</v>
      </c>
      <c r="D27" s="122"/>
      <c r="E27" s="122"/>
      <c r="F27" s="122"/>
      <c r="G27" s="122"/>
      <c r="H27" s="122"/>
      <c r="I27" s="122"/>
      <c r="J27" s="122"/>
      <c r="K27" s="123"/>
      <c r="L27" s="74" t="s">
        <v>485</v>
      </c>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6"/>
      <c r="AM27" s="77"/>
      <c r="AN27" s="78"/>
      <c r="AO27" s="78"/>
      <c r="AP27" s="78"/>
      <c r="AQ27" s="78"/>
      <c r="AR27" s="79"/>
      <c r="AS27" s="80" t="s">
        <v>473</v>
      </c>
      <c r="AT27" s="81"/>
      <c r="AU27" s="81"/>
      <c r="AV27" s="81"/>
      <c r="AW27" s="81"/>
      <c r="AX27" s="81"/>
      <c r="AY27" s="81"/>
      <c r="AZ27" s="82"/>
      <c r="BA27" s="77" t="s">
        <v>474</v>
      </c>
      <c r="BB27" s="78"/>
      <c r="BC27" s="78"/>
      <c r="BD27" s="78"/>
      <c r="BE27" s="78"/>
      <c r="BF27" s="78"/>
      <c r="BG27" s="79"/>
      <c r="BH27" s="124" t="s">
        <v>68</v>
      </c>
      <c r="BI27" s="125"/>
      <c r="BJ27" s="125"/>
      <c r="BK27" s="125"/>
      <c r="BL27" s="126"/>
      <c r="BM27" s="105"/>
      <c r="BN27" s="106"/>
      <c r="BO27" s="110"/>
      <c r="BP27" s="106"/>
      <c r="BQ27" s="110"/>
      <c r="BR27" s="106"/>
      <c r="BS27" s="114"/>
      <c r="BT27" s="115"/>
      <c r="BU27" s="110"/>
      <c r="BV27" s="106"/>
      <c r="BW27" s="110"/>
      <c r="BX27" s="119"/>
      <c r="HI27" s="1"/>
      <c r="HJ27" s="1"/>
      <c r="HK27" s="1"/>
      <c r="HL27" s="1"/>
      <c r="HM27" s="1"/>
      <c r="HN27" s="1"/>
      <c r="HO27" s="1"/>
      <c r="HP27" s="1"/>
    </row>
    <row r="28" spans="1:224" ht="15.75" customHeight="1">
      <c r="A28" s="53"/>
      <c r="B28" s="54"/>
      <c r="C28" s="127" t="s">
        <v>480</v>
      </c>
      <c r="D28" s="128"/>
      <c r="E28" s="128"/>
      <c r="F28" s="129" t="s">
        <v>19</v>
      </c>
      <c r="G28" s="129"/>
      <c r="H28" s="130" t="s">
        <v>20</v>
      </c>
      <c r="I28" s="130"/>
      <c r="J28" s="129" t="s">
        <v>55</v>
      </c>
      <c r="K28" s="131"/>
      <c r="L28" s="132" t="s">
        <v>477</v>
      </c>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c r="AL28" s="76"/>
      <c r="AM28" s="77"/>
      <c r="AN28" s="78"/>
      <c r="AO28" s="78"/>
      <c r="AP28" s="78"/>
      <c r="AQ28" s="78"/>
      <c r="AR28" s="79"/>
      <c r="AS28" s="80" t="s">
        <v>478</v>
      </c>
      <c r="AT28" s="81"/>
      <c r="AU28" s="81"/>
      <c r="AV28" s="81"/>
      <c r="AW28" s="81"/>
      <c r="AX28" s="81"/>
      <c r="AY28" s="81"/>
      <c r="AZ28" s="82"/>
      <c r="BA28" s="77"/>
      <c r="BB28" s="78"/>
      <c r="BC28" s="78"/>
      <c r="BD28" s="78"/>
      <c r="BE28" s="78"/>
      <c r="BF28" s="78"/>
      <c r="BG28" s="79"/>
      <c r="BH28" s="133"/>
      <c r="BI28" s="134"/>
      <c r="BJ28" s="134"/>
      <c r="BK28" s="134"/>
      <c r="BL28" s="135"/>
      <c r="BM28" s="105"/>
      <c r="BN28" s="106"/>
      <c r="BO28" s="110"/>
      <c r="BP28" s="106"/>
      <c r="BQ28" s="110"/>
      <c r="BR28" s="106"/>
      <c r="BS28" s="114"/>
      <c r="BT28" s="115"/>
      <c r="BU28" s="110"/>
      <c r="BV28" s="106"/>
      <c r="BW28" s="110"/>
      <c r="BX28" s="119"/>
      <c r="CA28" s="5">
        <f>DATEVALUE(C28&amp;F28&amp;H28&amp;J28)</f>
        <v>44562</v>
      </c>
      <c r="HI28" s="1"/>
      <c r="HJ28" s="1"/>
      <c r="HK28" s="1"/>
      <c r="HL28" s="1"/>
      <c r="HM28" s="1"/>
      <c r="HN28" s="1"/>
      <c r="HO28" s="1"/>
      <c r="HP28" s="1"/>
    </row>
    <row r="29" spans="1:224" ht="15.75" customHeight="1">
      <c r="A29" s="53"/>
      <c r="B29" s="54"/>
      <c r="C29" s="136"/>
      <c r="D29" s="137"/>
      <c r="E29" s="137"/>
      <c r="F29" s="137"/>
      <c r="G29" s="137"/>
      <c r="H29" s="137"/>
      <c r="I29" s="137"/>
      <c r="J29" s="137"/>
      <c r="K29" s="138"/>
      <c r="L29" s="74" t="s">
        <v>483</v>
      </c>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c r="AL29" s="76"/>
      <c r="AM29" s="77"/>
      <c r="AN29" s="78"/>
      <c r="AO29" s="78"/>
      <c r="AP29" s="78"/>
      <c r="AQ29" s="78"/>
      <c r="AR29" s="79"/>
      <c r="AS29" s="80" t="s">
        <v>484</v>
      </c>
      <c r="AT29" s="81"/>
      <c r="AU29" s="81"/>
      <c r="AV29" s="81"/>
      <c r="AW29" s="81"/>
      <c r="AX29" s="81"/>
      <c r="AY29" s="81"/>
      <c r="AZ29" s="82"/>
      <c r="BA29" s="77"/>
      <c r="BB29" s="78"/>
      <c r="BC29" s="78"/>
      <c r="BD29" s="78"/>
      <c r="BE29" s="78"/>
      <c r="BF29" s="78"/>
      <c r="BG29" s="79"/>
      <c r="BH29" s="68"/>
      <c r="BI29" s="69"/>
      <c r="BJ29" s="69"/>
      <c r="BK29" s="69"/>
      <c r="BL29" s="70"/>
      <c r="BM29" s="105"/>
      <c r="BN29" s="106"/>
      <c r="BO29" s="110"/>
      <c r="BP29" s="106"/>
      <c r="BQ29" s="110"/>
      <c r="BR29" s="106"/>
      <c r="BS29" s="114"/>
      <c r="BT29" s="115"/>
      <c r="BU29" s="110"/>
      <c r="BV29" s="106"/>
      <c r="BW29" s="110"/>
      <c r="BX29" s="119"/>
    </row>
    <row r="30" spans="1:224" ht="15.75" customHeight="1">
      <c r="A30" s="53"/>
      <c r="B30" s="54"/>
      <c r="C30" s="71"/>
      <c r="D30" s="72"/>
      <c r="E30" s="72"/>
      <c r="F30" s="72"/>
      <c r="G30" s="72"/>
      <c r="H30" s="72"/>
      <c r="I30" s="72"/>
      <c r="J30" s="72"/>
      <c r="K30" s="73"/>
      <c r="L30" s="74"/>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6"/>
      <c r="AM30" s="77"/>
      <c r="AN30" s="78"/>
      <c r="AO30" s="78"/>
      <c r="AP30" s="78"/>
      <c r="AQ30" s="78"/>
      <c r="AR30" s="79"/>
      <c r="AS30" s="80"/>
      <c r="AT30" s="81"/>
      <c r="AU30" s="81"/>
      <c r="AV30" s="81"/>
      <c r="AW30" s="81"/>
      <c r="AX30" s="81"/>
      <c r="AY30" s="81"/>
      <c r="AZ30" s="82"/>
      <c r="BA30" s="77"/>
      <c r="BB30" s="78"/>
      <c r="BC30" s="78"/>
      <c r="BD30" s="78"/>
      <c r="BE30" s="78"/>
      <c r="BF30" s="78"/>
      <c r="BG30" s="79"/>
      <c r="BH30" s="83" t="s">
        <v>74</v>
      </c>
      <c r="BI30" s="84"/>
      <c r="BJ30" s="84"/>
      <c r="BK30" s="84"/>
      <c r="BL30" s="85"/>
      <c r="BM30" s="105"/>
      <c r="BN30" s="106"/>
      <c r="BO30" s="110"/>
      <c r="BP30" s="106"/>
      <c r="BQ30" s="110"/>
      <c r="BR30" s="106"/>
      <c r="BS30" s="114"/>
      <c r="BT30" s="115"/>
      <c r="BU30" s="110"/>
      <c r="BV30" s="106"/>
      <c r="BW30" s="110"/>
      <c r="BX30" s="119"/>
    </row>
    <row r="31" spans="1:224" ht="15.75" customHeight="1">
      <c r="A31" s="55"/>
      <c r="B31" s="56"/>
      <c r="C31" s="86"/>
      <c r="D31" s="87"/>
      <c r="E31" s="87"/>
      <c r="F31" s="88" t="s">
        <v>19</v>
      </c>
      <c r="G31" s="88"/>
      <c r="H31" s="87">
        <v>2</v>
      </c>
      <c r="I31" s="87"/>
      <c r="J31" s="88" t="s">
        <v>75</v>
      </c>
      <c r="K31" s="89"/>
      <c r="L31" s="90" t="s">
        <v>531</v>
      </c>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2"/>
      <c r="AM31" s="93"/>
      <c r="AN31" s="94"/>
      <c r="AO31" s="94"/>
      <c r="AP31" s="94"/>
      <c r="AQ31" s="94"/>
      <c r="AR31" s="95"/>
      <c r="AS31" s="96"/>
      <c r="AT31" s="97"/>
      <c r="AU31" s="97"/>
      <c r="AV31" s="97"/>
      <c r="AW31" s="97"/>
      <c r="AX31" s="97"/>
      <c r="AY31" s="97"/>
      <c r="AZ31" s="98"/>
      <c r="BA31" s="93"/>
      <c r="BB31" s="94"/>
      <c r="BC31" s="94"/>
      <c r="BD31" s="94"/>
      <c r="BE31" s="94"/>
      <c r="BF31" s="94"/>
      <c r="BG31" s="95"/>
      <c r="BH31" s="99" t="s">
        <v>76</v>
      </c>
      <c r="BI31" s="100"/>
      <c r="BJ31" s="100"/>
      <c r="BK31" s="100"/>
      <c r="BL31" s="101"/>
      <c r="BM31" s="107"/>
      <c r="BN31" s="108"/>
      <c r="BO31" s="111"/>
      <c r="BP31" s="108"/>
      <c r="BQ31" s="111"/>
      <c r="BR31" s="108"/>
      <c r="BS31" s="116"/>
      <c r="BT31" s="117"/>
      <c r="BU31" s="111"/>
      <c r="BV31" s="108"/>
      <c r="BW31" s="111"/>
      <c r="BX31" s="120"/>
      <c r="CA31" s="5"/>
    </row>
    <row r="32" spans="1:224" ht="32" customHeight="1">
      <c r="A32" s="51" t="s">
        <v>490</v>
      </c>
      <c r="B32" s="52"/>
      <c r="C32" s="57" t="s">
        <v>53</v>
      </c>
      <c r="D32" s="58"/>
      <c r="E32" s="58"/>
      <c r="F32" s="59" t="s">
        <v>19</v>
      </c>
      <c r="G32" s="59"/>
      <c r="H32" s="60" t="s">
        <v>54</v>
      </c>
      <c r="I32" s="60"/>
      <c r="J32" s="59" t="s">
        <v>55</v>
      </c>
      <c r="K32" s="61"/>
      <c r="L32" s="62" t="s">
        <v>530</v>
      </c>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4"/>
      <c r="AM32" s="65" t="s">
        <v>56</v>
      </c>
      <c r="AN32" s="66"/>
      <c r="AO32" s="66"/>
      <c r="AP32" s="66"/>
      <c r="AQ32" s="66"/>
      <c r="AR32" s="67"/>
      <c r="AS32" s="163" t="s">
        <v>57</v>
      </c>
      <c r="AT32" s="164"/>
      <c r="AU32" s="164"/>
      <c r="AV32" s="164"/>
      <c r="AW32" s="164"/>
      <c r="AX32" s="164"/>
      <c r="AY32" s="164"/>
      <c r="AZ32" s="165"/>
      <c r="BA32" s="65" t="s">
        <v>58</v>
      </c>
      <c r="BB32" s="66"/>
      <c r="BC32" s="66"/>
      <c r="BD32" s="66"/>
      <c r="BE32" s="66"/>
      <c r="BF32" s="66"/>
      <c r="BG32" s="67"/>
      <c r="BH32" s="102" t="s">
        <v>59</v>
      </c>
      <c r="BI32" s="84"/>
      <c r="BJ32" s="84"/>
      <c r="BK32" s="84"/>
      <c r="BL32" s="85"/>
      <c r="BM32" s="103" t="s">
        <v>60</v>
      </c>
      <c r="BN32" s="104"/>
      <c r="BO32" s="109" t="s">
        <v>61</v>
      </c>
      <c r="BP32" s="104"/>
      <c r="BQ32" s="109"/>
      <c r="BR32" s="104"/>
      <c r="BS32" s="112" t="s">
        <v>62</v>
      </c>
      <c r="BT32" s="113"/>
      <c r="BU32" s="109" t="s">
        <v>62</v>
      </c>
      <c r="BV32" s="104"/>
      <c r="BW32" s="109" t="s">
        <v>62</v>
      </c>
      <c r="BX32" s="118"/>
      <c r="CA32" s="5">
        <f>DATEVALUE(C32&amp;F32&amp;H32&amp;J32)</f>
        <v>44440</v>
      </c>
      <c r="HI32" s="1"/>
      <c r="HJ32" s="1"/>
      <c r="HK32" s="1"/>
      <c r="HL32" s="1"/>
      <c r="HM32" s="1"/>
      <c r="HN32" s="1"/>
      <c r="HO32" s="1"/>
      <c r="HP32" s="1"/>
    </row>
    <row r="33" spans="1:224" ht="15.75" customHeight="1">
      <c r="A33" s="53"/>
      <c r="B33" s="54"/>
      <c r="C33" s="121" t="s">
        <v>63</v>
      </c>
      <c r="D33" s="122"/>
      <c r="E33" s="122"/>
      <c r="F33" s="122"/>
      <c r="G33" s="122"/>
      <c r="H33" s="122"/>
      <c r="I33" s="122"/>
      <c r="J33" s="122"/>
      <c r="K33" s="123"/>
      <c r="L33" s="74" t="s">
        <v>64</v>
      </c>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6"/>
      <c r="AM33" s="77" t="s">
        <v>65</v>
      </c>
      <c r="AN33" s="78"/>
      <c r="AO33" s="78"/>
      <c r="AP33" s="78"/>
      <c r="AQ33" s="78"/>
      <c r="AR33" s="79"/>
      <c r="AS33" s="80" t="s">
        <v>66</v>
      </c>
      <c r="AT33" s="81"/>
      <c r="AU33" s="81"/>
      <c r="AV33" s="81"/>
      <c r="AW33" s="81"/>
      <c r="AX33" s="81"/>
      <c r="AY33" s="81"/>
      <c r="AZ33" s="82"/>
      <c r="BA33" s="77" t="s">
        <v>67</v>
      </c>
      <c r="BB33" s="78"/>
      <c r="BC33" s="78"/>
      <c r="BD33" s="78"/>
      <c r="BE33" s="78"/>
      <c r="BF33" s="78"/>
      <c r="BG33" s="79"/>
      <c r="BH33" s="124" t="s">
        <v>68</v>
      </c>
      <c r="BI33" s="125"/>
      <c r="BJ33" s="125"/>
      <c r="BK33" s="125"/>
      <c r="BL33" s="126"/>
      <c r="BM33" s="105"/>
      <c r="BN33" s="106"/>
      <c r="BO33" s="110"/>
      <c r="BP33" s="106"/>
      <c r="BQ33" s="110"/>
      <c r="BR33" s="106"/>
      <c r="BS33" s="114"/>
      <c r="BT33" s="115"/>
      <c r="BU33" s="110"/>
      <c r="BV33" s="106"/>
      <c r="BW33" s="110"/>
      <c r="BX33" s="119"/>
      <c r="HI33" s="1"/>
      <c r="HJ33" s="1"/>
      <c r="HK33" s="1"/>
      <c r="HL33" s="1"/>
      <c r="HM33" s="1"/>
      <c r="HN33" s="1"/>
      <c r="HO33" s="1"/>
      <c r="HP33" s="1"/>
    </row>
    <row r="34" spans="1:224" ht="15.75" customHeight="1">
      <c r="A34" s="53"/>
      <c r="B34" s="54"/>
      <c r="C34" s="127" t="s">
        <v>53</v>
      </c>
      <c r="D34" s="128"/>
      <c r="E34" s="128"/>
      <c r="F34" s="129" t="s">
        <v>19</v>
      </c>
      <c r="G34" s="129"/>
      <c r="H34" s="130" t="s">
        <v>38</v>
      </c>
      <c r="I34" s="130"/>
      <c r="J34" s="129" t="s">
        <v>55</v>
      </c>
      <c r="K34" s="131"/>
      <c r="L34" s="132" t="s">
        <v>69</v>
      </c>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c r="AL34" s="76"/>
      <c r="AM34" s="77"/>
      <c r="AN34" s="78"/>
      <c r="AO34" s="78"/>
      <c r="AP34" s="78"/>
      <c r="AQ34" s="78"/>
      <c r="AR34" s="79"/>
      <c r="AS34" s="80" t="s">
        <v>70</v>
      </c>
      <c r="AT34" s="81"/>
      <c r="AU34" s="81"/>
      <c r="AV34" s="81"/>
      <c r="AW34" s="81"/>
      <c r="AX34" s="81"/>
      <c r="AY34" s="81"/>
      <c r="AZ34" s="82"/>
      <c r="BA34" s="77" t="s">
        <v>71</v>
      </c>
      <c r="BB34" s="78"/>
      <c r="BC34" s="78"/>
      <c r="BD34" s="78"/>
      <c r="BE34" s="78"/>
      <c r="BF34" s="78"/>
      <c r="BG34" s="79"/>
      <c r="BH34" s="133"/>
      <c r="BI34" s="134"/>
      <c r="BJ34" s="134"/>
      <c r="BK34" s="134"/>
      <c r="BL34" s="135"/>
      <c r="BM34" s="105"/>
      <c r="BN34" s="106"/>
      <c r="BO34" s="110"/>
      <c r="BP34" s="106"/>
      <c r="BQ34" s="110"/>
      <c r="BR34" s="106"/>
      <c r="BS34" s="114"/>
      <c r="BT34" s="115"/>
      <c r="BU34" s="110"/>
      <c r="BV34" s="106"/>
      <c r="BW34" s="110"/>
      <c r="BX34" s="119"/>
      <c r="CA34" s="5">
        <f>DATEVALUE(C34&amp;F34&amp;H34&amp;J34)</f>
        <v>44501</v>
      </c>
      <c r="HI34" s="1"/>
      <c r="HJ34" s="1"/>
      <c r="HK34" s="1"/>
      <c r="HL34" s="1"/>
      <c r="HM34" s="1"/>
      <c r="HN34" s="1"/>
      <c r="HO34" s="1"/>
      <c r="HP34" s="1"/>
    </row>
    <row r="35" spans="1:224" ht="15.75" customHeight="1">
      <c r="A35" s="53"/>
      <c r="B35" s="54"/>
      <c r="C35" s="136"/>
      <c r="D35" s="137"/>
      <c r="E35" s="137"/>
      <c r="F35" s="137"/>
      <c r="G35" s="137"/>
      <c r="H35" s="137"/>
      <c r="I35" s="137"/>
      <c r="J35" s="137"/>
      <c r="K35" s="138"/>
      <c r="L35" s="132" t="s">
        <v>527</v>
      </c>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6"/>
      <c r="AM35" s="77"/>
      <c r="AN35" s="78"/>
      <c r="AO35" s="78"/>
      <c r="AP35" s="78"/>
      <c r="AQ35" s="78"/>
      <c r="AR35" s="79"/>
      <c r="AS35" s="80"/>
      <c r="AT35" s="81"/>
      <c r="AU35" s="81"/>
      <c r="AV35" s="81"/>
      <c r="AW35" s="81"/>
      <c r="AX35" s="81"/>
      <c r="AY35" s="81"/>
      <c r="AZ35" s="82"/>
      <c r="BA35" s="77" t="s">
        <v>72</v>
      </c>
      <c r="BB35" s="78"/>
      <c r="BC35" s="78"/>
      <c r="BD35" s="78"/>
      <c r="BE35" s="78"/>
      <c r="BF35" s="78"/>
      <c r="BG35" s="79"/>
      <c r="BH35" s="68"/>
      <c r="BI35" s="69"/>
      <c r="BJ35" s="69"/>
      <c r="BK35" s="69"/>
      <c r="BL35" s="70"/>
      <c r="BM35" s="105"/>
      <c r="BN35" s="106"/>
      <c r="BO35" s="110"/>
      <c r="BP35" s="106"/>
      <c r="BQ35" s="110"/>
      <c r="BR35" s="106"/>
      <c r="BS35" s="114"/>
      <c r="BT35" s="115"/>
      <c r="BU35" s="110"/>
      <c r="BV35" s="106"/>
      <c r="BW35" s="110"/>
      <c r="BX35" s="119"/>
    </row>
    <row r="36" spans="1:224" ht="15.75" customHeight="1">
      <c r="A36" s="53"/>
      <c r="B36" s="54"/>
      <c r="C36" s="71"/>
      <c r="D36" s="72"/>
      <c r="E36" s="72"/>
      <c r="F36" s="72"/>
      <c r="G36" s="72"/>
      <c r="H36" s="72"/>
      <c r="I36" s="72"/>
      <c r="J36" s="72"/>
      <c r="K36" s="73"/>
      <c r="L36" s="74"/>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6"/>
      <c r="AM36" s="77"/>
      <c r="AN36" s="78"/>
      <c r="AO36" s="78"/>
      <c r="AP36" s="78"/>
      <c r="AQ36" s="78"/>
      <c r="AR36" s="79"/>
      <c r="AS36" s="80"/>
      <c r="AT36" s="81"/>
      <c r="AU36" s="81"/>
      <c r="AV36" s="81"/>
      <c r="AW36" s="81"/>
      <c r="AX36" s="81"/>
      <c r="AY36" s="81"/>
      <c r="AZ36" s="82"/>
      <c r="BA36" s="77" t="s">
        <v>73</v>
      </c>
      <c r="BB36" s="78"/>
      <c r="BC36" s="78"/>
      <c r="BD36" s="78"/>
      <c r="BE36" s="78"/>
      <c r="BF36" s="78"/>
      <c r="BG36" s="79"/>
      <c r="BH36" s="83" t="s">
        <v>74</v>
      </c>
      <c r="BI36" s="84"/>
      <c r="BJ36" s="84"/>
      <c r="BK36" s="84"/>
      <c r="BL36" s="85"/>
      <c r="BM36" s="105"/>
      <c r="BN36" s="106"/>
      <c r="BO36" s="110"/>
      <c r="BP36" s="106"/>
      <c r="BQ36" s="110"/>
      <c r="BR36" s="106"/>
      <c r="BS36" s="114"/>
      <c r="BT36" s="115"/>
      <c r="BU36" s="110"/>
      <c r="BV36" s="106"/>
      <c r="BW36" s="110"/>
      <c r="BX36" s="119"/>
    </row>
    <row r="37" spans="1:224" ht="15.75" customHeight="1">
      <c r="A37" s="55"/>
      <c r="B37" s="56"/>
      <c r="C37" s="86">
        <f ca="1">IFERROR(IF(AND(C34="",H34=""),ROUNDDOWN((DATEDIF($CA32,TODAY(),"m")+1)/12,0),ROUNDDOWN((DATEDIF($CA32,$CA34,"m")+1)/12,0)),"")</f>
        <v>0</v>
      </c>
      <c r="D37" s="87"/>
      <c r="E37" s="87"/>
      <c r="F37" s="88" t="s">
        <v>19</v>
      </c>
      <c r="G37" s="88"/>
      <c r="H37" s="87">
        <f ca="1">IFERROR(IF(AND(C34="",H34=""),DATEDIF($CA32,TODAY(),"m")-C37*12+1,DATEDIF($CA32,$CA34,"m")-C37*12+1),"")</f>
        <v>3</v>
      </c>
      <c r="I37" s="87"/>
      <c r="J37" s="88" t="s">
        <v>75</v>
      </c>
      <c r="K37" s="89"/>
      <c r="L37" s="166"/>
      <c r="M37" s="91"/>
      <c r="N37" s="91"/>
      <c r="O37" s="91"/>
      <c r="P37" s="91"/>
      <c r="Q37" s="91"/>
      <c r="R37" s="91"/>
      <c r="S37" s="91"/>
      <c r="T37" s="91"/>
      <c r="U37" s="91"/>
      <c r="V37" s="91"/>
      <c r="W37" s="91"/>
      <c r="X37" s="91"/>
      <c r="Y37" s="91"/>
      <c r="Z37" s="91"/>
      <c r="AA37" s="91"/>
      <c r="AB37" s="91"/>
      <c r="AC37" s="91"/>
      <c r="AD37" s="91"/>
      <c r="AE37" s="91"/>
      <c r="AF37" s="91"/>
      <c r="AG37" s="91"/>
      <c r="AH37" s="91"/>
      <c r="AI37" s="91"/>
      <c r="AJ37" s="91"/>
      <c r="AK37" s="91"/>
      <c r="AL37" s="92"/>
      <c r="AM37" s="93"/>
      <c r="AN37" s="94"/>
      <c r="AO37" s="94"/>
      <c r="AP37" s="94"/>
      <c r="AQ37" s="94"/>
      <c r="AR37" s="95"/>
      <c r="AS37" s="96"/>
      <c r="AT37" s="97"/>
      <c r="AU37" s="97"/>
      <c r="AV37" s="97"/>
      <c r="AW37" s="97"/>
      <c r="AX37" s="97"/>
      <c r="AY37" s="97"/>
      <c r="AZ37" s="98"/>
      <c r="BA37" s="93" t="s">
        <v>471</v>
      </c>
      <c r="BB37" s="94"/>
      <c r="BC37" s="94"/>
      <c r="BD37" s="94"/>
      <c r="BE37" s="94"/>
      <c r="BF37" s="94"/>
      <c r="BG37" s="95"/>
      <c r="BH37" s="99" t="s">
        <v>76</v>
      </c>
      <c r="BI37" s="100"/>
      <c r="BJ37" s="100"/>
      <c r="BK37" s="100"/>
      <c r="BL37" s="101"/>
      <c r="BM37" s="107"/>
      <c r="BN37" s="108"/>
      <c r="BO37" s="111"/>
      <c r="BP37" s="108"/>
      <c r="BQ37" s="111"/>
      <c r="BR37" s="108"/>
      <c r="BS37" s="116"/>
      <c r="BT37" s="117"/>
      <c r="BU37" s="111"/>
      <c r="BV37" s="108"/>
      <c r="BW37" s="111"/>
      <c r="BX37" s="120"/>
      <c r="CA37" s="5"/>
    </row>
    <row r="38" spans="1:224" ht="48" customHeight="1">
      <c r="A38" s="139" t="s">
        <v>96</v>
      </c>
      <c r="B38" s="140"/>
      <c r="C38" s="145" t="s">
        <v>77</v>
      </c>
      <c r="D38" s="146"/>
      <c r="E38" s="146"/>
      <c r="F38" s="147" t="s">
        <v>19</v>
      </c>
      <c r="G38" s="147"/>
      <c r="H38" s="148" t="s">
        <v>78</v>
      </c>
      <c r="I38" s="148"/>
      <c r="J38" s="147" t="s">
        <v>55</v>
      </c>
      <c r="K38" s="149"/>
      <c r="L38" s="150" t="s">
        <v>79</v>
      </c>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4"/>
      <c r="AM38" s="151" t="s">
        <v>80</v>
      </c>
      <c r="AN38" s="152"/>
      <c r="AO38" s="152"/>
      <c r="AP38" s="152"/>
      <c r="AQ38" s="152"/>
      <c r="AR38" s="153"/>
      <c r="AS38" s="154" t="s">
        <v>532</v>
      </c>
      <c r="AT38" s="155"/>
      <c r="AU38" s="155"/>
      <c r="AV38" s="155"/>
      <c r="AW38" s="155"/>
      <c r="AX38" s="155"/>
      <c r="AY38" s="155"/>
      <c r="AZ38" s="156"/>
      <c r="BA38" s="151" t="s">
        <v>81</v>
      </c>
      <c r="BB38" s="152"/>
      <c r="BC38" s="152"/>
      <c r="BD38" s="152"/>
      <c r="BE38" s="152"/>
      <c r="BF38" s="152"/>
      <c r="BG38" s="153"/>
      <c r="BH38" s="174" t="s">
        <v>59</v>
      </c>
      <c r="BI38" s="175"/>
      <c r="BJ38" s="175"/>
      <c r="BK38" s="175"/>
      <c r="BL38" s="176"/>
      <c r="BM38" s="167" t="s">
        <v>60</v>
      </c>
      <c r="BN38" s="168"/>
      <c r="BO38" s="170" t="s">
        <v>62</v>
      </c>
      <c r="BP38" s="168"/>
      <c r="BQ38" s="170" t="s">
        <v>62</v>
      </c>
      <c r="BR38" s="168"/>
      <c r="BS38" s="170" t="s">
        <v>62</v>
      </c>
      <c r="BT38" s="168"/>
      <c r="BU38" s="170" t="s">
        <v>62</v>
      </c>
      <c r="BV38" s="168"/>
      <c r="BW38" s="170" t="s">
        <v>62</v>
      </c>
      <c r="BX38" s="226"/>
      <c r="CA38" s="5">
        <f>DATEVALUE(C38&amp;F38&amp;H38&amp;J38)</f>
        <v>44166</v>
      </c>
      <c r="HI38" s="1"/>
      <c r="HJ38" s="1"/>
      <c r="HK38" s="1"/>
      <c r="HL38" s="1"/>
      <c r="HM38" s="1"/>
      <c r="HN38" s="1"/>
      <c r="HO38" s="1"/>
      <c r="HP38" s="1"/>
    </row>
    <row r="39" spans="1:224" ht="16" customHeight="1">
      <c r="A39" s="141"/>
      <c r="B39" s="142"/>
      <c r="C39" s="121" t="s">
        <v>63</v>
      </c>
      <c r="D39" s="122"/>
      <c r="E39" s="122"/>
      <c r="F39" s="122"/>
      <c r="G39" s="122"/>
      <c r="H39" s="122"/>
      <c r="I39" s="122"/>
      <c r="J39" s="122"/>
      <c r="K39" s="123"/>
      <c r="L39" s="157" t="s">
        <v>82</v>
      </c>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9"/>
      <c r="AM39" s="77"/>
      <c r="AN39" s="78"/>
      <c r="AO39" s="78"/>
      <c r="AP39" s="78"/>
      <c r="AQ39" s="78"/>
      <c r="AR39" s="79"/>
      <c r="AS39" s="80" t="s">
        <v>83</v>
      </c>
      <c r="AT39" s="81"/>
      <c r="AU39" s="81"/>
      <c r="AV39" s="81"/>
      <c r="AW39" s="81"/>
      <c r="AX39" s="81"/>
      <c r="AY39" s="81"/>
      <c r="AZ39" s="82"/>
      <c r="BA39" s="77"/>
      <c r="BB39" s="78"/>
      <c r="BC39" s="78"/>
      <c r="BD39" s="78"/>
      <c r="BE39" s="78"/>
      <c r="BF39" s="78"/>
      <c r="BG39" s="79"/>
      <c r="BH39" s="124" t="s">
        <v>84</v>
      </c>
      <c r="BI39" s="125"/>
      <c r="BJ39" s="125"/>
      <c r="BK39" s="125"/>
      <c r="BL39" s="126"/>
      <c r="BM39" s="68"/>
      <c r="BN39" s="115"/>
      <c r="BO39" s="114"/>
      <c r="BP39" s="115"/>
      <c r="BQ39" s="114"/>
      <c r="BR39" s="115"/>
      <c r="BS39" s="114"/>
      <c r="BT39" s="115"/>
      <c r="BU39" s="114"/>
      <c r="BV39" s="115"/>
      <c r="BW39" s="114"/>
      <c r="BX39" s="177"/>
      <c r="HI39" s="1"/>
      <c r="HJ39" s="1"/>
      <c r="HK39" s="1"/>
      <c r="HL39" s="1"/>
      <c r="HM39" s="1"/>
      <c r="HN39" s="1"/>
      <c r="HO39" s="1"/>
      <c r="HP39" s="1"/>
    </row>
    <row r="40" spans="1:224" ht="20" customHeight="1">
      <c r="A40" s="141"/>
      <c r="B40" s="142"/>
      <c r="C40" s="127" t="s">
        <v>53</v>
      </c>
      <c r="D40" s="128"/>
      <c r="E40" s="128"/>
      <c r="F40" s="129" t="s">
        <v>19</v>
      </c>
      <c r="G40" s="129"/>
      <c r="H40" s="130" t="s">
        <v>85</v>
      </c>
      <c r="I40" s="130"/>
      <c r="J40" s="129" t="s">
        <v>55</v>
      </c>
      <c r="K40" s="131"/>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c r="AK40" s="160"/>
      <c r="AL40" s="161"/>
      <c r="AM40" s="77"/>
      <c r="AN40" s="78"/>
      <c r="AO40" s="78"/>
      <c r="AP40" s="78"/>
      <c r="AQ40" s="78"/>
      <c r="AR40" s="79"/>
      <c r="AS40" s="80" t="s">
        <v>503</v>
      </c>
      <c r="AT40" s="81"/>
      <c r="AU40" s="81"/>
      <c r="AV40" s="81"/>
      <c r="AW40" s="81"/>
      <c r="AX40" s="81"/>
      <c r="AY40" s="81"/>
      <c r="AZ40" s="82"/>
      <c r="BA40" s="77"/>
      <c r="BB40" s="78"/>
      <c r="BC40" s="78"/>
      <c r="BD40" s="78"/>
      <c r="BE40" s="78"/>
      <c r="BF40" s="78"/>
      <c r="BG40" s="79"/>
      <c r="BH40" s="171"/>
      <c r="BI40" s="172"/>
      <c r="BJ40" s="172"/>
      <c r="BK40" s="172"/>
      <c r="BL40" s="173"/>
      <c r="BM40" s="68"/>
      <c r="BN40" s="115"/>
      <c r="BO40" s="114"/>
      <c r="BP40" s="115"/>
      <c r="BQ40" s="114"/>
      <c r="BR40" s="115"/>
      <c r="BS40" s="114"/>
      <c r="BT40" s="115"/>
      <c r="BU40" s="114"/>
      <c r="BV40" s="115"/>
      <c r="BW40" s="114"/>
      <c r="BX40" s="177"/>
      <c r="CA40" s="5">
        <f>DATEVALUE(C40&amp;F40&amp;H40&amp;J40)</f>
        <v>44317</v>
      </c>
      <c r="HI40" s="1"/>
      <c r="HJ40" s="1"/>
      <c r="HK40" s="1"/>
      <c r="HL40" s="1"/>
      <c r="HM40" s="1"/>
      <c r="HN40" s="1"/>
      <c r="HO40" s="1"/>
      <c r="HP40" s="1"/>
    </row>
    <row r="41" spans="1:224" ht="15.75" customHeight="1">
      <c r="A41" s="141"/>
      <c r="B41" s="142"/>
      <c r="C41" s="136"/>
      <c r="D41" s="137"/>
      <c r="E41" s="137"/>
      <c r="F41" s="137"/>
      <c r="G41" s="137"/>
      <c r="H41" s="137"/>
      <c r="I41" s="137"/>
      <c r="J41" s="137"/>
      <c r="K41" s="138"/>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c r="AK41" s="160"/>
      <c r="AL41" s="161"/>
      <c r="AM41" s="77"/>
      <c r="AN41" s="78"/>
      <c r="AO41" s="78"/>
      <c r="AP41" s="78"/>
      <c r="AQ41" s="78"/>
      <c r="AR41" s="79"/>
      <c r="AS41" s="80"/>
      <c r="AT41" s="81"/>
      <c r="AU41" s="81"/>
      <c r="AV41" s="81"/>
      <c r="AW41" s="81"/>
      <c r="AX41" s="81"/>
      <c r="AY41" s="81"/>
      <c r="AZ41" s="82"/>
      <c r="BA41" s="77"/>
      <c r="BB41" s="78"/>
      <c r="BC41" s="78"/>
      <c r="BD41" s="78"/>
      <c r="BE41" s="78"/>
      <c r="BF41" s="78"/>
      <c r="BG41" s="79"/>
      <c r="BH41" s="68"/>
      <c r="BI41" s="69"/>
      <c r="BJ41" s="69"/>
      <c r="BK41" s="69"/>
      <c r="BL41" s="177"/>
      <c r="BM41" s="68"/>
      <c r="BN41" s="115"/>
      <c r="BO41" s="114"/>
      <c r="BP41" s="115"/>
      <c r="BQ41" s="114"/>
      <c r="BR41" s="115"/>
      <c r="BS41" s="114"/>
      <c r="BT41" s="115"/>
      <c r="BU41" s="114"/>
      <c r="BV41" s="115"/>
      <c r="BW41" s="114"/>
      <c r="BX41" s="177"/>
    </row>
    <row r="42" spans="1:224" ht="15.75" customHeight="1">
      <c r="A42" s="141"/>
      <c r="B42" s="142"/>
      <c r="C42" s="71"/>
      <c r="D42" s="72"/>
      <c r="E42" s="72"/>
      <c r="F42" s="72"/>
      <c r="G42" s="72"/>
      <c r="H42" s="72"/>
      <c r="I42" s="72"/>
      <c r="J42" s="72"/>
      <c r="K42" s="73"/>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c r="AK42" s="160"/>
      <c r="AL42" s="161"/>
      <c r="AM42" s="77"/>
      <c r="AN42" s="78"/>
      <c r="AO42" s="78"/>
      <c r="AP42" s="78"/>
      <c r="AQ42" s="78"/>
      <c r="AR42" s="79"/>
      <c r="AS42" s="80"/>
      <c r="AT42" s="81"/>
      <c r="AU42" s="81"/>
      <c r="AV42" s="81"/>
      <c r="AW42" s="81"/>
      <c r="AX42" s="81"/>
      <c r="AY42" s="81"/>
      <c r="AZ42" s="82"/>
      <c r="BA42" s="77"/>
      <c r="BB42" s="78"/>
      <c r="BC42" s="78"/>
      <c r="BD42" s="78"/>
      <c r="BE42" s="78"/>
      <c r="BF42" s="78"/>
      <c r="BG42" s="79"/>
      <c r="BH42" s="83" t="s">
        <v>74</v>
      </c>
      <c r="BI42" s="84"/>
      <c r="BJ42" s="84"/>
      <c r="BK42" s="84"/>
      <c r="BL42" s="85"/>
      <c r="BM42" s="68"/>
      <c r="BN42" s="115"/>
      <c r="BO42" s="114"/>
      <c r="BP42" s="115"/>
      <c r="BQ42" s="114"/>
      <c r="BR42" s="115"/>
      <c r="BS42" s="114"/>
      <c r="BT42" s="115"/>
      <c r="BU42" s="114"/>
      <c r="BV42" s="115"/>
      <c r="BW42" s="114"/>
      <c r="BX42" s="177"/>
    </row>
    <row r="43" spans="1:224" ht="15.75" customHeight="1">
      <c r="A43" s="143"/>
      <c r="B43" s="144"/>
      <c r="C43" s="86">
        <f ca="1">IFERROR(IF(AND(C40="",H40=""),ROUNDDOWN((DATEDIF($CA38,TODAY(),"m")+1)/12,0),ROUNDDOWN((DATEDIF($CA38,$CA40,"m")+1)/12,0)),"")</f>
        <v>0</v>
      </c>
      <c r="D43" s="87"/>
      <c r="E43" s="87"/>
      <c r="F43" s="88" t="s">
        <v>19</v>
      </c>
      <c r="G43" s="88"/>
      <c r="H43" s="87">
        <f ca="1">IFERROR(IF(AND(C40="",H40=""),DATEDIF($CA38,TODAY(),"m")-C43*12+1,DATEDIF($CA38,$CA40,"m")-C43*12+1),"")</f>
        <v>6</v>
      </c>
      <c r="I43" s="87"/>
      <c r="J43" s="88" t="s">
        <v>75</v>
      </c>
      <c r="K43" s="89"/>
      <c r="L43" s="162" t="s">
        <v>528</v>
      </c>
      <c r="M43" s="91"/>
      <c r="N43" s="91"/>
      <c r="O43" s="91"/>
      <c r="P43" s="91"/>
      <c r="Q43" s="91"/>
      <c r="R43" s="91"/>
      <c r="S43" s="91"/>
      <c r="T43" s="91"/>
      <c r="U43" s="91"/>
      <c r="V43" s="91"/>
      <c r="W43" s="91"/>
      <c r="X43" s="91"/>
      <c r="Y43" s="91"/>
      <c r="Z43" s="91"/>
      <c r="AA43" s="91"/>
      <c r="AB43" s="91"/>
      <c r="AC43" s="91"/>
      <c r="AD43" s="91"/>
      <c r="AE43" s="91"/>
      <c r="AF43" s="91"/>
      <c r="AG43" s="91"/>
      <c r="AH43" s="91"/>
      <c r="AI43" s="91"/>
      <c r="AJ43" s="91"/>
      <c r="AK43" s="91"/>
      <c r="AL43" s="92"/>
      <c r="AM43" s="93"/>
      <c r="AN43" s="94"/>
      <c r="AO43" s="94"/>
      <c r="AP43" s="94"/>
      <c r="AQ43" s="94"/>
      <c r="AR43" s="95"/>
      <c r="AS43" s="96"/>
      <c r="AT43" s="97"/>
      <c r="AU43" s="97"/>
      <c r="AV43" s="97"/>
      <c r="AW43" s="97"/>
      <c r="AX43" s="97"/>
      <c r="AY43" s="97"/>
      <c r="AZ43" s="98"/>
      <c r="BA43" s="93"/>
      <c r="BB43" s="94"/>
      <c r="BC43" s="94"/>
      <c r="BD43" s="94"/>
      <c r="BE43" s="94"/>
      <c r="BF43" s="94"/>
      <c r="BG43" s="95"/>
      <c r="BH43" s="99" t="s">
        <v>76</v>
      </c>
      <c r="BI43" s="100"/>
      <c r="BJ43" s="100"/>
      <c r="BK43" s="100"/>
      <c r="BL43" s="101"/>
      <c r="BM43" s="169"/>
      <c r="BN43" s="117"/>
      <c r="BO43" s="116"/>
      <c r="BP43" s="117"/>
      <c r="BQ43" s="116"/>
      <c r="BR43" s="117"/>
      <c r="BS43" s="116"/>
      <c r="BT43" s="117"/>
      <c r="BU43" s="116"/>
      <c r="BV43" s="117"/>
      <c r="BW43" s="116"/>
      <c r="BX43" s="227"/>
      <c r="CA43" s="5"/>
    </row>
    <row r="44" spans="1:224" ht="15.75" customHeight="1">
      <c r="A44" s="139" t="s">
        <v>493</v>
      </c>
      <c r="B44" s="140"/>
      <c r="C44" s="145" t="s">
        <v>86</v>
      </c>
      <c r="D44" s="146"/>
      <c r="E44" s="146"/>
      <c r="F44" s="147" t="s">
        <v>19</v>
      </c>
      <c r="G44" s="147"/>
      <c r="H44" s="148" t="s">
        <v>87</v>
      </c>
      <c r="I44" s="148"/>
      <c r="J44" s="147" t="s">
        <v>55</v>
      </c>
      <c r="K44" s="149"/>
      <c r="L44" s="150" t="s">
        <v>88</v>
      </c>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4"/>
      <c r="AM44" s="154" t="s">
        <v>511</v>
      </c>
      <c r="AN44" s="152"/>
      <c r="AO44" s="152"/>
      <c r="AP44" s="152"/>
      <c r="AQ44" s="152"/>
      <c r="AR44" s="153"/>
      <c r="AS44" s="154" t="s">
        <v>90</v>
      </c>
      <c r="AT44" s="155"/>
      <c r="AU44" s="155"/>
      <c r="AV44" s="155"/>
      <c r="AW44" s="155"/>
      <c r="AX44" s="155"/>
      <c r="AY44" s="155"/>
      <c r="AZ44" s="156"/>
      <c r="BA44" s="47" t="s">
        <v>92</v>
      </c>
      <c r="BB44" s="48"/>
      <c r="BC44" s="48"/>
      <c r="BD44" s="48"/>
      <c r="BE44" s="48"/>
      <c r="BF44" s="48"/>
      <c r="BG44" s="49"/>
      <c r="BH44" s="174" t="s">
        <v>59</v>
      </c>
      <c r="BI44" s="175"/>
      <c r="BJ44" s="175"/>
      <c r="BK44" s="175"/>
      <c r="BL44" s="176"/>
      <c r="BM44" s="167" t="s">
        <v>60</v>
      </c>
      <c r="BN44" s="168"/>
      <c r="BO44" s="170" t="s">
        <v>61</v>
      </c>
      <c r="BP44" s="168"/>
      <c r="BQ44" s="170"/>
      <c r="BR44" s="168"/>
      <c r="BS44" s="170" t="s">
        <v>62</v>
      </c>
      <c r="BT44" s="168"/>
      <c r="BU44" s="170" t="s">
        <v>62</v>
      </c>
      <c r="BV44" s="168"/>
      <c r="BW44" s="170" t="s">
        <v>62</v>
      </c>
      <c r="BX44" s="226"/>
      <c r="CA44" s="5">
        <f>DATEVALUE(C44&amp;F44&amp;H44&amp;J44)</f>
        <v>43374</v>
      </c>
      <c r="HI44" s="1"/>
      <c r="HJ44" s="1"/>
      <c r="HK44" s="1"/>
      <c r="HL44" s="1"/>
      <c r="HM44" s="1"/>
      <c r="HN44" s="1"/>
      <c r="HO44" s="1"/>
      <c r="HP44" s="1"/>
    </row>
    <row r="45" spans="1:224" ht="15.75" customHeight="1">
      <c r="A45" s="141"/>
      <c r="B45" s="142"/>
      <c r="C45" s="121" t="s">
        <v>63</v>
      </c>
      <c r="D45" s="122"/>
      <c r="E45" s="122"/>
      <c r="F45" s="122"/>
      <c r="G45" s="122"/>
      <c r="H45" s="122"/>
      <c r="I45" s="122"/>
      <c r="J45" s="122"/>
      <c r="K45" s="123"/>
      <c r="L45" s="178" t="s">
        <v>91</v>
      </c>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80"/>
      <c r="AM45" s="77"/>
      <c r="AN45" s="78"/>
      <c r="AO45" s="78"/>
      <c r="AP45" s="78"/>
      <c r="AQ45" s="78"/>
      <c r="AR45" s="79"/>
      <c r="AS45" s="80"/>
      <c r="AT45" s="81"/>
      <c r="AU45" s="81"/>
      <c r="AV45" s="81"/>
      <c r="AW45" s="81"/>
      <c r="AX45" s="81"/>
      <c r="AY45" s="81"/>
      <c r="AZ45" s="82"/>
      <c r="BA45" s="47" t="s">
        <v>94</v>
      </c>
      <c r="BB45" s="48"/>
      <c r="BC45" s="48"/>
      <c r="BD45" s="48"/>
      <c r="BE45" s="48"/>
      <c r="BF45" s="48"/>
      <c r="BG45" s="49"/>
      <c r="BH45" s="124" t="s">
        <v>93</v>
      </c>
      <c r="BI45" s="125"/>
      <c r="BJ45" s="125"/>
      <c r="BK45" s="125"/>
      <c r="BL45" s="126"/>
      <c r="BM45" s="68"/>
      <c r="BN45" s="115"/>
      <c r="BO45" s="114"/>
      <c r="BP45" s="115"/>
      <c r="BQ45" s="114"/>
      <c r="BR45" s="115"/>
      <c r="BS45" s="114"/>
      <c r="BT45" s="115"/>
      <c r="BU45" s="114"/>
      <c r="BV45" s="115"/>
      <c r="BW45" s="114"/>
      <c r="BX45" s="177"/>
      <c r="HI45" s="1"/>
      <c r="HJ45" s="1"/>
      <c r="HK45" s="1"/>
      <c r="HL45" s="1"/>
      <c r="HM45" s="1"/>
      <c r="HN45" s="1"/>
      <c r="HO45" s="1"/>
      <c r="HP45" s="1"/>
    </row>
    <row r="46" spans="1:224" ht="15.75" customHeight="1">
      <c r="A46" s="141"/>
      <c r="B46" s="142"/>
      <c r="C46" s="127" t="s">
        <v>77</v>
      </c>
      <c r="D46" s="128"/>
      <c r="E46" s="128"/>
      <c r="F46" s="129" t="s">
        <v>19</v>
      </c>
      <c r="G46" s="129"/>
      <c r="H46" s="130" t="s">
        <v>54</v>
      </c>
      <c r="I46" s="130"/>
      <c r="J46" s="129" t="s">
        <v>55</v>
      </c>
      <c r="K46" s="131"/>
      <c r="L46" s="181"/>
      <c r="M46" s="181"/>
      <c r="N46" s="181"/>
      <c r="O46" s="181"/>
      <c r="P46" s="181"/>
      <c r="Q46" s="181"/>
      <c r="R46" s="181"/>
      <c r="S46" s="181"/>
      <c r="T46" s="181"/>
      <c r="U46" s="181"/>
      <c r="V46" s="181"/>
      <c r="W46" s="181"/>
      <c r="X46" s="181"/>
      <c r="Y46" s="181"/>
      <c r="Z46" s="181"/>
      <c r="AA46" s="181"/>
      <c r="AB46" s="181"/>
      <c r="AC46" s="181"/>
      <c r="AD46" s="181"/>
      <c r="AE46" s="181"/>
      <c r="AF46" s="181"/>
      <c r="AG46" s="181"/>
      <c r="AH46" s="181"/>
      <c r="AI46" s="181"/>
      <c r="AJ46" s="181"/>
      <c r="AK46" s="181"/>
      <c r="AL46" s="182"/>
      <c r="AM46" s="77"/>
      <c r="AN46" s="78"/>
      <c r="AO46" s="78"/>
      <c r="AP46" s="78"/>
      <c r="AQ46" s="78"/>
      <c r="AR46" s="79"/>
      <c r="AS46" s="80"/>
      <c r="AT46" s="81"/>
      <c r="AU46" s="81"/>
      <c r="AV46" s="81"/>
      <c r="AW46" s="81"/>
      <c r="AX46" s="81"/>
      <c r="AY46" s="81"/>
      <c r="AZ46" s="82"/>
      <c r="BA46" s="77" t="s">
        <v>95</v>
      </c>
      <c r="BB46" s="78"/>
      <c r="BC46" s="78"/>
      <c r="BD46" s="78"/>
      <c r="BE46" s="78"/>
      <c r="BF46" s="78"/>
      <c r="BG46" s="79"/>
      <c r="BH46" s="171"/>
      <c r="BI46" s="172"/>
      <c r="BJ46" s="172"/>
      <c r="BK46" s="172"/>
      <c r="BL46" s="173"/>
      <c r="BM46" s="68"/>
      <c r="BN46" s="115"/>
      <c r="BO46" s="114"/>
      <c r="BP46" s="115"/>
      <c r="BQ46" s="114"/>
      <c r="BR46" s="115"/>
      <c r="BS46" s="114"/>
      <c r="BT46" s="115"/>
      <c r="BU46" s="114"/>
      <c r="BV46" s="115"/>
      <c r="BW46" s="114"/>
      <c r="BX46" s="177"/>
      <c r="CA46" s="5">
        <f>DATEVALUE(C46&amp;F46&amp;H46&amp;J46)</f>
        <v>44075</v>
      </c>
      <c r="HI46" s="1"/>
      <c r="HJ46" s="1"/>
      <c r="HK46" s="1"/>
      <c r="HL46" s="1"/>
      <c r="HM46" s="1"/>
      <c r="HN46" s="1"/>
      <c r="HO46" s="1"/>
      <c r="HP46" s="1"/>
    </row>
    <row r="47" spans="1:224" ht="15.75" customHeight="1">
      <c r="A47" s="141"/>
      <c r="B47" s="142"/>
      <c r="C47" s="136"/>
      <c r="D47" s="137"/>
      <c r="E47" s="137"/>
      <c r="F47" s="137"/>
      <c r="G47" s="137"/>
      <c r="H47" s="137"/>
      <c r="I47" s="137"/>
      <c r="J47" s="137"/>
      <c r="K47" s="138"/>
      <c r="L47" s="181"/>
      <c r="M47" s="181"/>
      <c r="N47" s="181"/>
      <c r="O47" s="181"/>
      <c r="P47" s="181"/>
      <c r="Q47" s="181"/>
      <c r="R47" s="181"/>
      <c r="S47" s="181"/>
      <c r="T47" s="181"/>
      <c r="U47" s="181"/>
      <c r="V47" s="181"/>
      <c r="W47" s="181"/>
      <c r="X47" s="181"/>
      <c r="Y47" s="181"/>
      <c r="Z47" s="181"/>
      <c r="AA47" s="181"/>
      <c r="AB47" s="181"/>
      <c r="AC47" s="181"/>
      <c r="AD47" s="181"/>
      <c r="AE47" s="181"/>
      <c r="AF47" s="181"/>
      <c r="AG47" s="181"/>
      <c r="AH47" s="181"/>
      <c r="AI47" s="181"/>
      <c r="AJ47" s="181"/>
      <c r="AK47" s="181"/>
      <c r="AL47" s="182"/>
      <c r="AM47" s="77"/>
      <c r="AN47" s="78"/>
      <c r="AO47" s="78"/>
      <c r="AP47" s="78"/>
      <c r="AQ47" s="78"/>
      <c r="AR47" s="79"/>
      <c r="AS47" s="80"/>
      <c r="AT47" s="81"/>
      <c r="AU47" s="81"/>
      <c r="AV47" s="81"/>
      <c r="AW47" s="81"/>
      <c r="AX47" s="81"/>
      <c r="AY47" s="81"/>
      <c r="AZ47" s="82"/>
      <c r="BA47" s="77"/>
      <c r="BB47" s="78"/>
      <c r="BC47" s="78"/>
      <c r="BD47" s="78"/>
      <c r="BE47" s="78"/>
      <c r="BF47" s="78"/>
      <c r="BG47" s="79"/>
      <c r="BH47" s="68"/>
      <c r="BI47" s="69"/>
      <c r="BJ47" s="69"/>
      <c r="BK47" s="69"/>
      <c r="BL47" s="177"/>
      <c r="BM47" s="68"/>
      <c r="BN47" s="115"/>
      <c r="BO47" s="114"/>
      <c r="BP47" s="115"/>
      <c r="BQ47" s="114"/>
      <c r="BR47" s="115"/>
      <c r="BS47" s="114"/>
      <c r="BT47" s="115"/>
      <c r="BU47" s="114"/>
      <c r="BV47" s="115"/>
      <c r="BW47" s="114"/>
      <c r="BX47" s="177"/>
    </row>
    <row r="48" spans="1:224" ht="15.75" customHeight="1">
      <c r="A48" s="141"/>
      <c r="B48" s="142"/>
      <c r="C48" s="71"/>
      <c r="D48" s="72"/>
      <c r="E48" s="72"/>
      <c r="F48" s="72"/>
      <c r="G48" s="72"/>
      <c r="H48" s="72"/>
      <c r="I48" s="72"/>
      <c r="J48" s="72"/>
      <c r="K48" s="73"/>
      <c r="L48" s="181"/>
      <c r="M48" s="181"/>
      <c r="N48" s="181"/>
      <c r="O48" s="181"/>
      <c r="P48" s="181"/>
      <c r="Q48" s="181"/>
      <c r="R48" s="181"/>
      <c r="S48" s="181"/>
      <c r="T48" s="181"/>
      <c r="U48" s="181"/>
      <c r="V48" s="181"/>
      <c r="W48" s="181"/>
      <c r="X48" s="181"/>
      <c r="Y48" s="181"/>
      <c r="Z48" s="181"/>
      <c r="AA48" s="181"/>
      <c r="AB48" s="181"/>
      <c r="AC48" s="181"/>
      <c r="AD48" s="181"/>
      <c r="AE48" s="181"/>
      <c r="AF48" s="181"/>
      <c r="AG48" s="181"/>
      <c r="AH48" s="181"/>
      <c r="AI48" s="181"/>
      <c r="AJ48" s="181"/>
      <c r="AK48" s="181"/>
      <c r="AL48" s="182"/>
      <c r="AM48" s="77"/>
      <c r="AN48" s="78"/>
      <c r="AO48" s="78"/>
      <c r="AP48" s="78"/>
      <c r="AQ48" s="78"/>
      <c r="AR48" s="79"/>
      <c r="AS48" s="80"/>
      <c r="AT48" s="81"/>
      <c r="AU48" s="81"/>
      <c r="AV48" s="81"/>
      <c r="AW48" s="81"/>
      <c r="AX48" s="81"/>
      <c r="AY48" s="81"/>
      <c r="AZ48" s="82"/>
      <c r="BA48" s="77"/>
      <c r="BB48" s="78"/>
      <c r="BC48" s="78"/>
      <c r="BD48" s="78"/>
      <c r="BE48" s="78"/>
      <c r="BF48" s="78"/>
      <c r="BG48" s="79"/>
      <c r="BH48" s="83" t="s">
        <v>74</v>
      </c>
      <c r="BI48" s="84"/>
      <c r="BJ48" s="84"/>
      <c r="BK48" s="84"/>
      <c r="BL48" s="85"/>
      <c r="BM48" s="68"/>
      <c r="BN48" s="115"/>
      <c r="BO48" s="114"/>
      <c r="BP48" s="115"/>
      <c r="BQ48" s="114"/>
      <c r="BR48" s="115"/>
      <c r="BS48" s="114"/>
      <c r="BT48" s="115"/>
      <c r="BU48" s="114"/>
      <c r="BV48" s="115"/>
      <c r="BW48" s="114"/>
      <c r="BX48" s="177"/>
    </row>
    <row r="49" spans="1:224" ht="15.75" customHeight="1">
      <c r="A49" s="143"/>
      <c r="B49" s="144"/>
      <c r="C49" s="86">
        <f ca="1">IFERROR(IF(AND(C46="",H46=""),ROUNDDOWN((DATEDIF($CA44,TODAY(),"m")+1)/12,0),ROUNDDOWN((DATEDIF($CA44,$CA46,"m")+1)/12,0)),"")</f>
        <v>2</v>
      </c>
      <c r="D49" s="87"/>
      <c r="E49" s="87"/>
      <c r="F49" s="88" t="s">
        <v>19</v>
      </c>
      <c r="G49" s="88"/>
      <c r="H49" s="87">
        <f ca="1">IFERROR(IF(AND(C46="",H46=""),DATEDIF($CA44,TODAY(),"m")-C49*12+1,DATEDIF($CA44,$CA46,"m")-C49*12+1),"")</f>
        <v>0</v>
      </c>
      <c r="I49" s="87"/>
      <c r="J49" s="88" t="s">
        <v>75</v>
      </c>
      <c r="K49" s="89"/>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c r="AK49" s="183"/>
      <c r="AL49" s="184"/>
      <c r="AM49" s="93"/>
      <c r="AN49" s="94"/>
      <c r="AO49" s="94"/>
      <c r="AP49" s="94"/>
      <c r="AQ49" s="94"/>
      <c r="AR49" s="95"/>
      <c r="AS49" s="96"/>
      <c r="AT49" s="97"/>
      <c r="AU49" s="97"/>
      <c r="AV49" s="97"/>
      <c r="AW49" s="97"/>
      <c r="AX49" s="97"/>
      <c r="AY49" s="97"/>
      <c r="AZ49" s="98"/>
      <c r="BA49" s="93"/>
      <c r="BB49" s="94"/>
      <c r="BC49" s="94"/>
      <c r="BD49" s="94"/>
      <c r="BE49" s="94"/>
      <c r="BF49" s="94"/>
      <c r="BG49" s="95"/>
      <c r="BH49" s="99" t="s">
        <v>76</v>
      </c>
      <c r="BI49" s="100"/>
      <c r="BJ49" s="100"/>
      <c r="BK49" s="100"/>
      <c r="BL49" s="101"/>
      <c r="BM49" s="169"/>
      <c r="BN49" s="117"/>
      <c r="BO49" s="116"/>
      <c r="BP49" s="117"/>
      <c r="BQ49" s="116"/>
      <c r="BR49" s="117"/>
      <c r="BS49" s="116"/>
      <c r="BT49" s="117"/>
      <c r="BU49" s="116"/>
      <c r="BV49" s="117"/>
      <c r="BW49" s="116"/>
      <c r="BX49" s="227"/>
      <c r="CA49" s="5"/>
    </row>
    <row r="50" spans="1:224" ht="15.75" customHeight="1">
      <c r="A50" s="139" t="s">
        <v>494</v>
      </c>
      <c r="B50" s="140"/>
      <c r="C50" s="145" t="s">
        <v>97</v>
      </c>
      <c r="D50" s="146"/>
      <c r="E50" s="146"/>
      <c r="F50" s="147" t="s">
        <v>19</v>
      </c>
      <c r="G50" s="147"/>
      <c r="H50" s="148" t="s">
        <v>32</v>
      </c>
      <c r="I50" s="148"/>
      <c r="J50" s="147" t="s">
        <v>55</v>
      </c>
      <c r="K50" s="149"/>
      <c r="L50" s="150" t="s">
        <v>98</v>
      </c>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4"/>
      <c r="AM50" s="151" t="s">
        <v>65</v>
      </c>
      <c r="AN50" s="152"/>
      <c r="AO50" s="152"/>
      <c r="AP50" s="152"/>
      <c r="AQ50" s="152"/>
      <c r="AR50" s="153"/>
      <c r="AS50" s="154" t="s">
        <v>99</v>
      </c>
      <c r="AT50" s="155"/>
      <c r="AU50" s="155"/>
      <c r="AV50" s="155"/>
      <c r="AW50" s="155"/>
      <c r="AX50" s="155"/>
      <c r="AY50" s="155"/>
      <c r="AZ50" s="156"/>
      <c r="BA50" s="185" t="s">
        <v>100</v>
      </c>
      <c r="BB50" s="186"/>
      <c r="BC50" s="186"/>
      <c r="BD50" s="186"/>
      <c r="BE50" s="186"/>
      <c r="BF50" s="186"/>
      <c r="BG50" s="187"/>
      <c r="BH50" s="174" t="s">
        <v>59</v>
      </c>
      <c r="BI50" s="175"/>
      <c r="BJ50" s="175"/>
      <c r="BK50" s="175"/>
      <c r="BL50" s="176"/>
      <c r="BM50" s="167" t="s">
        <v>60</v>
      </c>
      <c r="BN50" s="168"/>
      <c r="BO50" s="170" t="s">
        <v>62</v>
      </c>
      <c r="BP50" s="168"/>
      <c r="BQ50" s="170" t="s">
        <v>62</v>
      </c>
      <c r="BR50" s="168"/>
      <c r="BS50" s="170" t="s">
        <v>62</v>
      </c>
      <c r="BT50" s="168"/>
      <c r="BU50" s="170" t="s">
        <v>62</v>
      </c>
      <c r="BV50" s="168"/>
      <c r="BW50" s="170"/>
      <c r="BX50" s="226"/>
      <c r="CA50" s="5">
        <f>DATEVALUE(C50&amp;F50&amp;H50&amp;J50)</f>
        <v>43101</v>
      </c>
      <c r="HI50" s="1"/>
      <c r="HJ50" s="1"/>
      <c r="HK50" s="1"/>
      <c r="HL50" s="1"/>
      <c r="HM50" s="1"/>
      <c r="HN50" s="1"/>
      <c r="HO50" s="1"/>
      <c r="HP50" s="1"/>
    </row>
    <row r="51" spans="1:224" ht="15.75" customHeight="1">
      <c r="A51" s="141"/>
      <c r="B51" s="142"/>
      <c r="C51" s="121" t="s">
        <v>63</v>
      </c>
      <c r="D51" s="122"/>
      <c r="E51" s="122"/>
      <c r="F51" s="122"/>
      <c r="G51" s="122"/>
      <c r="H51" s="122"/>
      <c r="I51" s="122"/>
      <c r="J51" s="122"/>
      <c r="K51" s="123"/>
      <c r="L51" s="188" t="s">
        <v>101</v>
      </c>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90"/>
      <c r="AM51" s="77"/>
      <c r="AN51" s="78"/>
      <c r="AO51" s="78"/>
      <c r="AP51" s="78"/>
      <c r="AQ51" s="78"/>
      <c r="AR51" s="79"/>
      <c r="AS51" s="80" t="s">
        <v>102</v>
      </c>
      <c r="AT51" s="81"/>
      <c r="AU51" s="81"/>
      <c r="AV51" s="81"/>
      <c r="AW51" s="81"/>
      <c r="AX51" s="81"/>
      <c r="AY51" s="81"/>
      <c r="AZ51" s="82"/>
      <c r="BA51" s="77" t="s">
        <v>103</v>
      </c>
      <c r="BB51" s="78"/>
      <c r="BC51" s="78"/>
      <c r="BD51" s="78"/>
      <c r="BE51" s="78"/>
      <c r="BF51" s="78"/>
      <c r="BG51" s="79"/>
      <c r="BH51" s="124" t="s">
        <v>84</v>
      </c>
      <c r="BI51" s="125"/>
      <c r="BJ51" s="125"/>
      <c r="BK51" s="125"/>
      <c r="BL51" s="126"/>
      <c r="BM51" s="68"/>
      <c r="BN51" s="115"/>
      <c r="BO51" s="114"/>
      <c r="BP51" s="115"/>
      <c r="BQ51" s="114"/>
      <c r="BR51" s="115"/>
      <c r="BS51" s="114"/>
      <c r="BT51" s="115"/>
      <c r="BU51" s="114"/>
      <c r="BV51" s="115"/>
      <c r="BW51" s="114"/>
      <c r="BX51" s="177"/>
      <c r="HI51" s="1"/>
      <c r="HJ51" s="1"/>
      <c r="HK51" s="1"/>
      <c r="HL51" s="1"/>
      <c r="HM51" s="1"/>
      <c r="HN51" s="1"/>
      <c r="HO51" s="1"/>
      <c r="HP51" s="1"/>
    </row>
    <row r="52" spans="1:224" ht="15.75" customHeight="1">
      <c r="A52" s="141"/>
      <c r="B52" s="142"/>
      <c r="C52" s="127" t="s">
        <v>86</v>
      </c>
      <c r="D52" s="128"/>
      <c r="E52" s="128"/>
      <c r="F52" s="129" t="s">
        <v>19</v>
      </c>
      <c r="G52" s="129"/>
      <c r="H52" s="130" t="s">
        <v>54</v>
      </c>
      <c r="I52" s="130"/>
      <c r="J52" s="129" t="s">
        <v>55</v>
      </c>
      <c r="K52" s="131"/>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6"/>
      <c r="AM52" s="77"/>
      <c r="AN52" s="78"/>
      <c r="AO52" s="78"/>
      <c r="AP52" s="78"/>
      <c r="AQ52" s="78"/>
      <c r="AR52" s="79"/>
      <c r="AS52" s="80" t="s">
        <v>104</v>
      </c>
      <c r="AT52" s="81"/>
      <c r="AU52" s="81"/>
      <c r="AV52" s="81"/>
      <c r="AW52" s="81"/>
      <c r="AX52" s="81"/>
      <c r="AY52" s="81"/>
      <c r="AZ52" s="82"/>
      <c r="BA52" s="77" t="s">
        <v>105</v>
      </c>
      <c r="BB52" s="78"/>
      <c r="BC52" s="78"/>
      <c r="BD52" s="78"/>
      <c r="BE52" s="78"/>
      <c r="BF52" s="78"/>
      <c r="BG52" s="79"/>
      <c r="BH52" s="171"/>
      <c r="BI52" s="172"/>
      <c r="BJ52" s="172"/>
      <c r="BK52" s="172"/>
      <c r="BL52" s="173"/>
      <c r="BM52" s="68"/>
      <c r="BN52" s="115"/>
      <c r="BO52" s="114"/>
      <c r="BP52" s="115"/>
      <c r="BQ52" s="114"/>
      <c r="BR52" s="115"/>
      <c r="BS52" s="114"/>
      <c r="BT52" s="115"/>
      <c r="BU52" s="114"/>
      <c r="BV52" s="115"/>
      <c r="BW52" s="114"/>
      <c r="BX52" s="177"/>
      <c r="CA52" s="5">
        <f>DATEVALUE(C52&amp;F52&amp;H52&amp;J52)</f>
        <v>43344</v>
      </c>
      <c r="HI52" s="1"/>
      <c r="HJ52" s="1"/>
      <c r="HK52" s="1"/>
      <c r="HL52" s="1"/>
      <c r="HM52" s="1"/>
      <c r="HN52" s="1"/>
      <c r="HO52" s="1"/>
      <c r="HP52" s="1"/>
    </row>
    <row r="53" spans="1:224" ht="15.75" customHeight="1">
      <c r="A53" s="141"/>
      <c r="B53" s="142"/>
      <c r="C53" s="136"/>
      <c r="D53" s="137"/>
      <c r="E53" s="137"/>
      <c r="F53" s="137"/>
      <c r="G53" s="137"/>
      <c r="H53" s="137"/>
      <c r="I53" s="137"/>
      <c r="J53" s="137"/>
      <c r="K53" s="138"/>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6"/>
      <c r="AM53" s="77"/>
      <c r="AN53" s="78"/>
      <c r="AO53" s="78"/>
      <c r="AP53" s="78"/>
      <c r="AQ53" s="78"/>
      <c r="AR53" s="79"/>
      <c r="AS53" s="80" t="s">
        <v>106</v>
      </c>
      <c r="AT53" s="81"/>
      <c r="AU53" s="81"/>
      <c r="AV53" s="81"/>
      <c r="AW53" s="81"/>
      <c r="AX53" s="81"/>
      <c r="AY53" s="81"/>
      <c r="AZ53" s="82"/>
      <c r="BA53" s="77" t="s">
        <v>95</v>
      </c>
      <c r="BB53" s="78"/>
      <c r="BC53" s="78"/>
      <c r="BD53" s="78"/>
      <c r="BE53" s="78"/>
      <c r="BF53" s="78"/>
      <c r="BG53" s="79"/>
      <c r="BH53" s="68"/>
      <c r="BI53" s="69"/>
      <c r="BJ53" s="69"/>
      <c r="BK53" s="69"/>
      <c r="BL53" s="177"/>
      <c r="BM53" s="68"/>
      <c r="BN53" s="115"/>
      <c r="BO53" s="114"/>
      <c r="BP53" s="115"/>
      <c r="BQ53" s="114"/>
      <c r="BR53" s="115"/>
      <c r="BS53" s="114"/>
      <c r="BT53" s="115"/>
      <c r="BU53" s="114"/>
      <c r="BV53" s="115"/>
      <c r="BW53" s="114"/>
      <c r="BX53" s="177"/>
    </row>
    <row r="54" spans="1:224" ht="15.75" customHeight="1">
      <c r="A54" s="141"/>
      <c r="B54" s="142"/>
      <c r="C54" s="71"/>
      <c r="D54" s="72"/>
      <c r="E54" s="72"/>
      <c r="F54" s="72"/>
      <c r="G54" s="72"/>
      <c r="H54" s="72"/>
      <c r="I54" s="72"/>
      <c r="J54" s="72"/>
      <c r="K54" s="73"/>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6"/>
      <c r="AM54" s="77"/>
      <c r="AN54" s="78"/>
      <c r="AO54" s="78"/>
      <c r="AP54" s="78"/>
      <c r="AQ54" s="78"/>
      <c r="AR54" s="79"/>
      <c r="AS54" s="80"/>
      <c r="AT54" s="81"/>
      <c r="AU54" s="81"/>
      <c r="AV54" s="81"/>
      <c r="AW54" s="81"/>
      <c r="AX54" s="81"/>
      <c r="AY54" s="81"/>
      <c r="AZ54" s="82"/>
      <c r="BA54" s="77"/>
      <c r="BB54" s="78"/>
      <c r="BC54" s="78"/>
      <c r="BD54" s="78"/>
      <c r="BE54" s="78"/>
      <c r="BF54" s="78"/>
      <c r="BG54" s="79"/>
      <c r="BH54" s="83" t="s">
        <v>74</v>
      </c>
      <c r="BI54" s="84"/>
      <c r="BJ54" s="84"/>
      <c r="BK54" s="84"/>
      <c r="BL54" s="85"/>
      <c r="BM54" s="68"/>
      <c r="BN54" s="115"/>
      <c r="BO54" s="114"/>
      <c r="BP54" s="115"/>
      <c r="BQ54" s="114"/>
      <c r="BR54" s="115"/>
      <c r="BS54" s="114"/>
      <c r="BT54" s="115"/>
      <c r="BU54" s="114"/>
      <c r="BV54" s="115"/>
      <c r="BW54" s="114"/>
      <c r="BX54" s="177"/>
    </row>
    <row r="55" spans="1:224" ht="15.75" customHeight="1">
      <c r="A55" s="143"/>
      <c r="B55" s="144"/>
      <c r="C55" s="86">
        <f ca="1">IFERROR(IF(AND(C52="",H52=""),ROUNDDOWN((DATEDIF($CA50,TODAY(),"m")+1)/12,0),ROUNDDOWN((DATEDIF($CA50,$CA52,"m")+1)/12,0)),"")</f>
        <v>0</v>
      </c>
      <c r="D55" s="87"/>
      <c r="E55" s="87"/>
      <c r="F55" s="88" t="s">
        <v>19</v>
      </c>
      <c r="G55" s="88"/>
      <c r="H55" s="87">
        <f ca="1">IFERROR(IF(AND(C52="",H52=""),DATEDIF($CA50,TODAY(),"m")-C55*12+1,DATEDIF($CA50,$CA52,"m")-C55*12+1),"")</f>
        <v>9</v>
      </c>
      <c r="I55" s="87"/>
      <c r="J55" s="88" t="s">
        <v>75</v>
      </c>
      <c r="K55" s="89"/>
      <c r="L55" s="91"/>
      <c r="M55" s="91"/>
      <c r="N55" s="91"/>
      <c r="O55" s="91"/>
      <c r="P55" s="91"/>
      <c r="Q55" s="91"/>
      <c r="R55" s="91"/>
      <c r="S55" s="91"/>
      <c r="T55" s="91"/>
      <c r="U55" s="91"/>
      <c r="V55" s="91"/>
      <c r="W55" s="91"/>
      <c r="X55" s="91"/>
      <c r="Y55" s="91"/>
      <c r="Z55" s="91"/>
      <c r="AA55" s="91"/>
      <c r="AB55" s="91"/>
      <c r="AC55" s="91"/>
      <c r="AD55" s="91"/>
      <c r="AE55" s="91"/>
      <c r="AF55" s="91"/>
      <c r="AG55" s="91"/>
      <c r="AH55" s="91"/>
      <c r="AI55" s="91"/>
      <c r="AJ55" s="91"/>
      <c r="AK55" s="91"/>
      <c r="AL55" s="92"/>
      <c r="AM55" s="93"/>
      <c r="AN55" s="94"/>
      <c r="AO55" s="94"/>
      <c r="AP55" s="94"/>
      <c r="AQ55" s="94"/>
      <c r="AR55" s="95"/>
      <c r="AS55" s="96"/>
      <c r="AT55" s="97"/>
      <c r="AU55" s="97"/>
      <c r="AV55" s="97"/>
      <c r="AW55" s="97"/>
      <c r="AX55" s="97"/>
      <c r="AY55" s="97"/>
      <c r="AZ55" s="98"/>
      <c r="BA55" s="93"/>
      <c r="BB55" s="94"/>
      <c r="BC55" s="94"/>
      <c r="BD55" s="94"/>
      <c r="BE55" s="94"/>
      <c r="BF55" s="94"/>
      <c r="BG55" s="95"/>
      <c r="BH55" s="99" t="s">
        <v>107</v>
      </c>
      <c r="BI55" s="100"/>
      <c r="BJ55" s="100"/>
      <c r="BK55" s="100"/>
      <c r="BL55" s="101"/>
      <c r="BM55" s="169"/>
      <c r="BN55" s="117"/>
      <c r="BO55" s="116"/>
      <c r="BP55" s="117"/>
      <c r="BQ55" s="116"/>
      <c r="BR55" s="117"/>
      <c r="BS55" s="116"/>
      <c r="BT55" s="117"/>
      <c r="BU55" s="116"/>
      <c r="BV55" s="117"/>
      <c r="BW55" s="116"/>
      <c r="BX55" s="227"/>
      <c r="CA55" s="5"/>
    </row>
    <row r="56" spans="1:224" ht="15.75" customHeight="1">
      <c r="A56" s="139" t="s">
        <v>495</v>
      </c>
      <c r="B56" s="140"/>
      <c r="C56" s="145" t="s">
        <v>108</v>
      </c>
      <c r="D56" s="146"/>
      <c r="E56" s="146"/>
      <c r="F56" s="147" t="s">
        <v>19</v>
      </c>
      <c r="G56" s="147"/>
      <c r="H56" s="148" t="s">
        <v>32</v>
      </c>
      <c r="I56" s="148"/>
      <c r="J56" s="147" t="s">
        <v>55</v>
      </c>
      <c r="K56" s="149"/>
      <c r="L56" s="150" t="s">
        <v>109</v>
      </c>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4"/>
      <c r="AM56" s="151" t="s">
        <v>65</v>
      </c>
      <c r="AN56" s="152"/>
      <c r="AO56" s="152"/>
      <c r="AP56" s="152"/>
      <c r="AQ56" s="152"/>
      <c r="AR56" s="153"/>
      <c r="AS56" s="154" t="s">
        <v>110</v>
      </c>
      <c r="AT56" s="155"/>
      <c r="AU56" s="155"/>
      <c r="AV56" s="155"/>
      <c r="AW56" s="155"/>
      <c r="AX56" s="155"/>
      <c r="AY56" s="155"/>
      <c r="AZ56" s="156"/>
      <c r="BA56" s="185" t="s">
        <v>95</v>
      </c>
      <c r="BB56" s="186"/>
      <c r="BC56" s="186"/>
      <c r="BD56" s="186"/>
      <c r="BE56" s="186"/>
      <c r="BF56" s="186"/>
      <c r="BG56" s="187"/>
      <c r="BH56" s="174" t="s">
        <v>59</v>
      </c>
      <c r="BI56" s="175"/>
      <c r="BJ56" s="175"/>
      <c r="BK56" s="175"/>
      <c r="BL56" s="176"/>
      <c r="BM56" s="167" t="s">
        <v>60</v>
      </c>
      <c r="BN56" s="168"/>
      <c r="BO56" s="170" t="s">
        <v>61</v>
      </c>
      <c r="BP56" s="168"/>
      <c r="BQ56" s="170"/>
      <c r="BR56" s="168"/>
      <c r="BS56" s="170"/>
      <c r="BT56" s="168"/>
      <c r="BU56" s="170"/>
      <c r="BV56" s="168"/>
      <c r="BW56" s="170" t="s">
        <v>62</v>
      </c>
      <c r="BX56" s="226"/>
      <c r="CA56" s="5">
        <f>DATEVALUE(C56&amp;F56&amp;H56&amp;J56)</f>
        <v>42736</v>
      </c>
      <c r="HI56" s="1"/>
      <c r="HJ56" s="1"/>
      <c r="HK56" s="1"/>
      <c r="HL56" s="1"/>
      <c r="HM56" s="1"/>
      <c r="HN56" s="1"/>
      <c r="HO56" s="1"/>
      <c r="HP56" s="1"/>
    </row>
    <row r="57" spans="1:224" ht="15.75" customHeight="1">
      <c r="A57" s="141"/>
      <c r="B57" s="142"/>
      <c r="C57" s="121" t="s">
        <v>63</v>
      </c>
      <c r="D57" s="122"/>
      <c r="E57" s="122"/>
      <c r="F57" s="122"/>
      <c r="G57" s="122"/>
      <c r="H57" s="122"/>
      <c r="I57" s="122"/>
      <c r="J57" s="122"/>
      <c r="K57" s="123"/>
      <c r="L57" s="157" t="s">
        <v>513</v>
      </c>
      <c r="M57" s="157"/>
      <c r="N57" s="157"/>
      <c r="O57" s="157"/>
      <c r="P57" s="157"/>
      <c r="Q57" s="157"/>
      <c r="R57" s="157"/>
      <c r="S57" s="157"/>
      <c r="T57" s="157"/>
      <c r="U57" s="157"/>
      <c r="V57" s="157"/>
      <c r="W57" s="157"/>
      <c r="X57" s="157"/>
      <c r="Y57" s="157"/>
      <c r="Z57" s="157"/>
      <c r="AA57" s="157"/>
      <c r="AB57" s="157"/>
      <c r="AC57" s="157"/>
      <c r="AD57" s="157"/>
      <c r="AE57" s="157"/>
      <c r="AF57" s="157"/>
      <c r="AG57" s="157"/>
      <c r="AH57" s="157"/>
      <c r="AI57" s="157"/>
      <c r="AJ57" s="157"/>
      <c r="AK57" s="157"/>
      <c r="AL57" s="365"/>
      <c r="AM57" s="77"/>
      <c r="AN57" s="78"/>
      <c r="AO57" s="78"/>
      <c r="AP57" s="78"/>
      <c r="AQ57" s="78"/>
      <c r="AR57" s="79"/>
      <c r="AS57" s="80" t="s">
        <v>104</v>
      </c>
      <c r="AT57" s="81"/>
      <c r="AU57" s="81"/>
      <c r="AV57" s="81"/>
      <c r="AW57" s="81"/>
      <c r="AX57" s="81"/>
      <c r="AY57" s="81"/>
      <c r="AZ57" s="82"/>
      <c r="BA57" s="77"/>
      <c r="BB57" s="78"/>
      <c r="BC57" s="78"/>
      <c r="BD57" s="78"/>
      <c r="BE57" s="78"/>
      <c r="BF57" s="78"/>
      <c r="BG57" s="79"/>
      <c r="BH57" s="124" t="s">
        <v>68</v>
      </c>
      <c r="BI57" s="125"/>
      <c r="BJ57" s="125"/>
      <c r="BK57" s="125"/>
      <c r="BL57" s="126"/>
      <c r="BM57" s="68"/>
      <c r="BN57" s="115"/>
      <c r="BO57" s="114"/>
      <c r="BP57" s="115"/>
      <c r="BQ57" s="114"/>
      <c r="BR57" s="115"/>
      <c r="BS57" s="114"/>
      <c r="BT57" s="115"/>
      <c r="BU57" s="114"/>
      <c r="BV57" s="115"/>
      <c r="BW57" s="114"/>
      <c r="BX57" s="177"/>
      <c r="HI57" s="1"/>
      <c r="HJ57" s="1"/>
      <c r="HK57" s="1"/>
      <c r="HL57" s="1"/>
      <c r="HM57" s="1"/>
      <c r="HN57" s="1"/>
      <c r="HO57" s="1"/>
      <c r="HP57" s="1"/>
    </row>
    <row r="58" spans="1:224" ht="15.75" customHeight="1">
      <c r="A58" s="141"/>
      <c r="B58" s="142"/>
      <c r="C58" s="127" t="s">
        <v>108</v>
      </c>
      <c r="D58" s="128"/>
      <c r="E58" s="128"/>
      <c r="F58" s="129" t="s">
        <v>19</v>
      </c>
      <c r="G58" s="129"/>
      <c r="H58" s="130" t="s">
        <v>87</v>
      </c>
      <c r="I58" s="130"/>
      <c r="J58" s="129" t="s">
        <v>55</v>
      </c>
      <c r="K58" s="131"/>
      <c r="L58" s="366"/>
      <c r="M58" s="366"/>
      <c r="N58" s="366"/>
      <c r="O58" s="366"/>
      <c r="P58" s="366"/>
      <c r="Q58" s="366"/>
      <c r="R58" s="366"/>
      <c r="S58" s="366"/>
      <c r="T58" s="366"/>
      <c r="U58" s="366"/>
      <c r="V58" s="366"/>
      <c r="W58" s="366"/>
      <c r="X58" s="366"/>
      <c r="Y58" s="366"/>
      <c r="Z58" s="366"/>
      <c r="AA58" s="366"/>
      <c r="AB58" s="366"/>
      <c r="AC58" s="366"/>
      <c r="AD58" s="366"/>
      <c r="AE58" s="366"/>
      <c r="AF58" s="366"/>
      <c r="AG58" s="366"/>
      <c r="AH58" s="366"/>
      <c r="AI58" s="366"/>
      <c r="AJ58" s="366"/>
      <c r="AK58" s="366"/>
      <c r="AL58" s="367"/>
      <c r="AM58" s="77"/>
      <c r="AN58" s="78"/>
      <c r="AO58" s="78"/>
      <c r="AP58" s="78"/>
      <c r="AQ58" s="78"/>
      <c r="AR58" s="79"/>
      <c r="AS58" s="80" t="s">
        <v>106</v>
      </c>
      <c r="AT58" s="81"/>
      <c r="AU58" s="81"/>
      <c r="AV58" s="81"/>
      <c r="AW58" s="81"/>
      <c r="AX58" s="81"/>
      <c r="AY58" s="81"/>
      <c r="AZ58" s="82"/>
      <c r="BA58" s="77"/>
      <c r="BB58" s="78"/>
      <c r="BC58" s="78"/>
      <c r="BD58" s="78"/>
      <c r="BE58" s="78"/>
      <c r="BF58" s="78"/>
      <c r="BG58" s="79"/>
      <c r="BH58" s="171"/>
      <c r="BI58" s="172"/>
      <c r="BJ58" s="172"/>
      <c r="BK58" s="172"/>
      <c r="BL58" s="173"/>
      <c r="BM58" s="68"/>
      <c r="BN58" s="115"/>
      <c r="BO58" s="114"/>
      <c r="BP58" s="115"/>
      <c r="BQ58" s="114"/>
      <c r="BR58" s="115"/>
      <c r="BS58" s="114"/>
      <c r="BT58" s="115"/>
      <c r="BU58" s="114"/>
      <c r="BV58" s="115"/>
      <c r="BW58" s="114"/>
      <c r="BX58" s="177"/>
      <c r="CA58" s="5">
        <f>DATEVALUE(C58&amp;F58&amp;H58&amp;J58)</f>
        <v>43009</v>
      </c>
      <c r="HI58" s="1"/>
      <c r="HJ58" s="1"/>
      <c r="HK58" s="1"/>
      <c r="HL58" s="1"/>
      <c r="HM58" s="1"/>
      <c r="HN58" s="1"/>
      <c r="HO58" s="1"/>
      <c r="HP58" s="1"/>
    </row>
    <row r="59" spans="1:224" ht="15.75" customHeight="1">
      <c r="A59" s="141"/>
      <c r="B59" s="142"/>
      <c r="C59" s="136"/>
      <c r="D59" s="137"/>
      <c r="E59" s="137"/>
      <c r="F59" s="137"/>
      <c r="G59" s="137"/>
      <c r="H59" s="137"/>
      <c r="I59" s="137"/>
      <c r="J59" s="137"/>
      <c r="K59" s="138"/>
      <c r="L59" s="366"/>
      <c r="M59" s="366"/>
      <c r="N59" s="366"/>
      <c r="O59" s="366"/>
      <c r="P59" s="366"/>
      <c r="Q59" s="366"/>
      <c r="R59" s="366"/>
      <c r="S59" s="366"/>
      <c r="T59" s="366"/>
      <c r="U59" s="366"/>
      <c r="V59" s="366"/>
      <c r="W59" s="366"/>
      <c r="X59" s="366"/>
      <c r="Y59" s="366"/>
      <c r="Z59" s="366"/>
      <c r="AA59" s="366"/>
      <c r="AB59" s="366"/>
      <c r="AC59" s="366"/>
      <c r="AD59" s="366"/>
      <c r="AE59" s="366"/>
      <c r="AF59" s="366"/>
      <c r="AG59" s="366"/>
      <c r="AH59" s="366"/>
      <c r="AI59" s="366"/>
      <c r="AJ59" s="366"/>
      <c r="AK59" s="366"/>
      <c r="AL59" s="367"/>
      <c r="AM59" s="77"/>
      <c r="AN59" s="78"/>
      <c r="AO59" s="78"/>
      <c r="AP59" s="78"/>
      <c r="AQ59" s="78"/>
      <c r="AR59" s="79"/>
      <c r="AS59" s="80"/>
      <c r="AT59" s="81"/>
      <c r="AU59" s="81"/>
      <c r="AV59" s="81"/>
      <c r="AW59" s="81"/>
      <c r="AX59" s="81"/>
      <c r="AY59" s="81"/>
      <c r="AZ59" s="82"/>
      <c r="BA59" s="77"/>
      <c r="BB59" s="78"/>
      <c r="BC59" s="78"/>
      <c r="BD59" s="78"/>
      <c r="BE59" s="78"/>
      <c r="BF59" s="78"/>
      <c r="BG59" s="79"/>
      <c r="BH59" s="68"/>
      <c r="BI59" s="69"/>
      <c r="BJ59" s="69"/>
      <c r="BK59" s="69"/>
      <c r="BL59" s="177"/>
      <c r="BM59" s="68"/>
      <c r="BN59" s="115"/>
      <c r="BO59" s="114"/>
      <c r="BP59" s="115"/>
      <c r="BQ59" s="114"/>
      <c r="BR59" s="115"/>
      <c r="BS59" s="114"/>
      <c r="BT59" s="115"/>
      <c r="BU59" s="114"/>
      <c r="BV59" s="115"/>
      <c r="BW59" s="114"/>
      <c r="BX59" s="177"/>
    </row>
    <row r="60" spans="1:224" ht="15.75" customHeight="1">
      <c r="A60" s="141"/>
      <c r="B60" s="142"/>
      <c r="C60" s="71"/>
      <c r="D60" s="72"/>
      <c r="E60" s="72"/>
      <c r="F60" s="72"/>
      <c r="G60" s="72"/>
      <c r="H60" s="72"/>
      <c r="I60" s="72"/>
      <c r="J60" s="72"/>
      <c r="K60" s="73"/>
      <c r="L60" s="366"/>
      <c r="M60" s="366"/>
      <c r="N60" s="366"/>
      <c r="O60" s="366"/>
      <c r="P60" s="366"/>
      <c r="Q60" s="366"/>
      <c r="R60" s="366"/>
      <c r="S60" s="366"/>
      <c r="T60" s="366"/>
      <c r="U60" s="366"/>
      <c r="V60" s="366"/>
      <c r="W60" s="366"/>
      <c r="X60" s="366"/>
      <c r="Y60" s="366"/>
      <c r="Z60" s="366"/>
      <c r="AA60" s="366"/>
      <c r="AB60" s="366"/>
      <c r="AC60" s="366"/>
      <c r="AD60" s="366"/>
      <c r="AE60" s="366"/>
      <c r="AF60" s="366"/>
      <c r="AG60" s="366"/>
      <c r="AH60" s="366"/>
      <c r="AI60" s="366"/>
      <c r="AJ60" s="366"/>
      <c r="AK60" s="366"/>
      <c r="AL60" s="367"/>
      <c r="AM60" s="77"/>
      <c r="AN60" s="78"/>
      <c r="AO60" s="78"/>
      <c r="AP60" s="78"/>
      <c r="AQ60" s="78"/>
      <c r="AR60" s="79"/>
      <c r="AS60" s="80"/>
      <c r="AT60" s="81"/>
      <c r="AU60" s="81"/>
      <c r="AV60" s="81"/>
      <c r="AW60" s="81"/>
      <c r="AX60" s="81"/>
      <c r="AY60" s="81"/>
      <c r="AZ60" s="82"/>
      <c r="BA60" s="77"/>
      <c r="BB60" s="78"/>
      <c r="BC60" s="78"/>
      <c r="BD60" s="78"/>
      <c r="BE60" s="78"/>
      <c r="BF60" s="78"/>
      <c r="BG60" s="79"/>
      <c r="BH60" s="83" t="s">
        <v>74</v>
      </c>
      <c r="BI60" s="84"/>
      <c r="BJ60" s="84"/>
      <c r="BK60" s="84"/>
      <c r="BL60" s="85"/>
      <c r="BM60" s="68"/>
      <c r="BN60" s="115"/>
      <c r="BO60" s="114"/>
      <c r="BP60" s="115"/>
      <c r="BQ60" s="114"/>
      <c r="BR60" s="115"/>
      <c r="BS60" s="114"/>
      <c r="BT60" s="115"/>
      <c r="BU60" s="114"/>
      <c r="BV60" s="115"/>
      <c r="BW60" s="114"/>
      <c r="BX60" s="177"/>
    </row>
    <row r="61" spans="1:224" ht="15.75" customHeight="1">
      <c r="A61" s="143"/>
      <c r="B61" s="144"/>
      <c r="C61" s="86">
        <f ca="1">IFERROR(IF(AND(C58="",H58=""),ROUNDDOWN((DATEDIF($CA56,TODAY(),"m")+1)/12,0),ROUNDDOWN((DATEDIF($CA56,$CA58,"m")+1)/12,0)),"")</f>
        <v>0</v>
      </c>
      <c r="D61" s="87"/>
      <c r="E61" s="87"/>
      <c r="F61" s="88" t="s">
        <v>19</v>
      </c>
      <c r="G61" s="88"/>
      <c r="H61" s="87">
        <f ca="1">IFERROR(IF(AND(C58="",H58=""),DATEDIF($CA56,TODAY(),"m")-C61*12+1,DATEDIF($CA56,$CA58,"m")-C61*12+1),"")</f>
        <v>10</v>
      </c>
      <c r="I61" s="87"/>
      <c r="J61" s="88" t="s">
        <v>75</v>
      </c>
      <c r="K61" s="89"/>
      <c r="L61" s="368"/>
      <c r="M61" s="368"/>
      <c r="N61" s="368"/>
      <c r="O61" s="368"/>
      <c r="P61" s="368"/>
      <c r="Q61" s="368"/>
      <c r="R61" s="368"/>
      <c r="S61" s="368"/>
      <c r="T61" s="368"/>
      <c r="U61" s="368"/>
      <c r="V61" s="368"/>
      <c r="W61" s="368"/>
      <c r="X61" s="368"/>
      <c r="Y61" s="368"/>
      <c r="Z61" s="368"/>
      <c r="AA61" s="368"/>
      <c r="AB61" s="368"/>
      <c r="AC61" s="368"/>
      <c r="AD61" s="368"/>
      <c r="AE61" s="368"/>
      <c r="AF61" s="368"/>
      <c r="AG61" s="368"/>
      <c r="AH61" s="368"/>
      <c r="AI61" s="368"/>
      <c r="AJ61" s="368"/>
      <c r="AK61" s="368"/>
      <c r="AL61" s="369"/>
      <c r="AM61" s="93"/>
      <c r="AN61" s="94"/>
      <c r="AO61" s="94"/>
      <c r="AP61" s="94"/>
      <c r="AQ61" s="94"/>
      <c r="AR61" s="95"/>
      <c r="AS61" s="96"/>
      <c r="AT61" s="97"/>
      <c r="AU61" s="97"/>
      <c r="AV61" s="97"/>
      <c r="AW61" s="97"/>
      <c r="AX61" s="97"/>
      <c r="AY61" s="97"/>
      <c r="AZ61" s="98"/>
      <c r="BA61" s="93"/>
      <c r="BB61" s="94"/>
      <c r="BC61" s="94"/>
      <c r="BD61" s="94"/>
      <c r="BE61" s="94"/>
      <c r="BF61" s="94"/>
      <c r="BG61" s="95"/>
      <c r="BH61" s="99" t="s">
        <v>76</v>
      </c>
      <c r="BI61" s="100"/>
      <c r="BJ61" s="100"/>
      <c r="BK61" s="100"/>
      <c r="BL61" s="101"/>
      <c r="BM61" s="169"/>
      <c r="BN61" s="117"/>
      <c r="BO61" s="116"/>
      <c r="BP61" s="117"/>
      <c r="BQ61" s="116"/>
      <c r="BR61" s="117"/>
      <c r="BS61" s="116"/>
      <c r="BT61" s="117"/>
      <c r="BU61" s="116"/>
      <c r="BV61" s="117"/>
      <c r="BW61" s="116"/>
      <c r="BX61" s="227"/>
      <c r="CA61" s="5"/>
    </row>
    <row r="62" spans="1:224" ht="15.75" customHeight="1">
      <c r="A62" s="139" t="s">
        <v>496</v>
      </c>
      <c r="B62" s="140"/>
      <c r="C62" s="145" t="s">
        <v>111</v>
      </c>
      <c r="D62" s="146"/>
      <c r="E62" s="146"/>
      <c r="F62" s="147" t="s">
        <v>19</v>
      </c>
      <c r="G62" s="147"/>
      <c r="H62" s="148" t="s">
        <v>32</v>
      </c>
      <c r="I62" s="148"/>
      <c r="J62" s="147" t="s">
        <v>55</v>
      </c>
      <c r="K62" s="149"/>
      <c r="L62" s="150" t="s">
        <v>112</v>
      </c>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4"/>
      <c r="AM62" s="151" t="s">
        <v>113</v>
      </c>
      <c r="AN62" s="152"/>
      <c r="AO62" s="152"/>
      <c r="AP62" s="152"/>
      <c r="AQ62" s="152"/>
      <c r="AR62" s="153"/>
      <c r="AS62" s="154" t="s">
        <v>114</v>
      </c>
      <c r="AT62" s="155"/>
      <c r="AU62" s="155"/>
      <c r="AV62" s="155"/>
      <c r="AW62" s="155"/>
      <c r="AX62" s="155"/>
      <c r="AY62" s="155"/>
      <c r="AZ62" s="156"/>
      <c r="BA62" s="185" t="s">
        <v>115</v>
      </c>
      <c r="BB62" s="186"/>
      <c r="BC62" s="186"/>
      <c r="BD62" s="186"/>
      <c r="BE62" s="186"/>
      <c r="BF62" s="186"/>
      <c r="BG62" s="187"/>
      <c r="BH62" s="174" t="s">
        <v>59</v>
      </c>
      <c r="BI62" s="175"/>
      <c r="BJ62" s="175"/>
      <c r="BK62" s="175"/>
      <c r="BL62" s="176"/>
      <c r="BM62" s="167" t="s">
        <v>60</v>
      </c>
      <c r="BN62" s="168"/>
      <c r="BO62" s="170"/>
      <c r="BP62" s="168"/>
      <c r="BQ62" s="170" t="s">
        <v>62</v>
      </c>
      <c r="BR62" s="168"/>
      <c r="BS62" s="170" t="s">
        <v>62</v>
      </c>
      <c r="BT62" s="168"/>
      <c r="BU62" s="170" t="s">
        <v>62</v>
      </c>
      <c r="BV62" s="168"/>
      <c r="BW62" s="170" t="s">
        <v>62</v>
      </c>
      <c r="BX62" s="226"/>
      <c r="CA62" s="5">
        <f>DATEVALUE(C62&amp;F62&amp;H62&amp;J62)</f>
        <v>41640</v>
      </c>
      <c r="HI62" s="1"/>
      <c r="HJ62" s="1"/>
      <c r="HK62" s="1"/>
      <c r="HL62" s="1"/>
      <c r="HM62" s="1"/>
      <c r="HN62" s="1"/>
      <c r="HO62" s="1"/>
      <c r="HP62" s="1"/>
    </row>
    <row r="63" spans="1:224" ht="15.75" customHeight="1">
      <c r="A63" s="141"/>
      <c r="B63" s="142"/>
      <c r="C63" s="121" t="s">
        <v>63</v>
      </c>
      <c r="D63" s="122"/>
      <c r="E63" s="122"/>
      <c r="F63" s="122"/>
      <c r="G63" s="122"/>
      <c r="H63" s="122"/>
      <c r="I63" s="122"/>
      <c r="J63" s="122"/>
      <c r="K63" s="123"/>
      <c r="L63" s="157" t="s">
        <v>116</v>
      </c>
      <c r="M63" s="157"/>
      <c r="N63" s="157"/>
      <c r="O63" s="157"/>
      <c r="P63" s="157"/>
      <c r="Q63" s="157"/>
      <c r="R63" s="157"/>
      <c r="S63" s="157"/>
      <c r="T63" s="157"/>
      <c r="U63" s="157"/>
      <c r="V63" s="157"/>
      <c r="W63" s="157"/>
      <c r="X63" s="157"/>
      <c r="Y63" s="157"/>
      <c r="Z63" s="157"/>
      <c r="AA63" s="157"/>
      <c r="AB63" s="157"/>
      <c r="AC63" s="157"/>
      <c r="AD63" s="157"/>
      <c r="AE63" s="157"/>
      <c r="AF63" s="157"/>
      <c r="AG63" s="157"/>
      <c r="AH63" s="157"/>
      <c r="AI63" s="157"/>
      <c r="AJ63" s="157"/>
      <c r="AK63" s="157"/>
      <c r="AL63" s="365"/>
      <c r="AM63" s="77" t="s">
        <v>512</v>
      </c>
      <c r="AN63" s="78"/>
      <c r="AO63" s="78"/>
      <c r="AP63" s="78"/>
      <c r="AQ63" s="78"/>
      <c r="AR63" s="79"/>
      <c r="AS63" s="80" t="s">
        <v>117</v>
      </c>
      <c r="AT63" s="81"/>
      <c r="AU63" s="81"/>
      <c r="AV63" s="81"/>
      <c r="AW63" s="81"/>
      <c r="AX63" s="81"/>
      <c r="AY63" s="81"/>
      <c r="AZ63" s="82"/>
      <c r="BA63" s="77" t="s">
        <v>118</v>
      </c>
      <c r="BB63" s="78"/>
      <c r="BC63" s="78"/>
      <c r="BD63" s="78"/>
      <c r="BE63" s="78"/>
      <c r="BF63" s="78"/>
      <c r="BG63" s="79"/>
      <c r="BH63" s="124" t="s">
        <v>156</v>
      </c>
      <c r="BI63" s="125"/>
      <c r="BJ63" s="125"/>
      <c r="BK63" s="125"/>
      <c r="BL63" s="126"/>
      <c r="BM63" s="68"/>
      <c r="BN63" s="115"/>
      <c r="BO63" s="114"/>
      <c r="BP63" s="115"/>
      <c r="BQ63" s="114"/>
      <c r="BR63" s="115"/>
      <c r="BS63" s="114"/>
      <c r="BT63" s="115"/>
      <c r="BU63" s="114"/>
      <c r="BV63" s="115"/>
      <c r="BW63" s="114"/>
      <c r="BX63" s="177"/>
      <c r="HI63" s="1"/>
      <c r="HJ63" s="1"/>
      <c r="HK63" s="1"/>
      <c r="HL63" s="1"/>
      <c r="HM63" s="1"/>
      <c r="HN63" s="1"/>
      <c r="HO63" s="1"/>
      <c r="HP63" s="1"/>
    </row>
    <row r="64" spans="1:224" ht="15.75" customHeight="1">
      <c r="A64" s="141"/>
      <c r="B64" s="142"/>
      <c r="C64" s="127" t="s">
        <v>119</v>
      </c>
      <c r="D64" s="128"/>
      <c r="E64" s="128"/>
      <c r="F64" s="129" t="s">
        <v>19</v>
      </c>
      <c r="G64" s="129"/>
      <c r="H64" s="130" t="s">
        <v>120</v>
      </c>
      <c r="I64" s="130"/>
      <c r="J64" s="129" t="s">
        <v>55</v>
      </c>
      <c r="K64" s="131"/>
      <c r="L64" s="366"/>
      <c r="M64" s="366"/>
      <c r="N64" s="366"/>
      <c r="O64" s="366"/>
      <c r="P64" s="366"/>
      <c r="Q64" s="366"/>
      <c r="R64" s="366"/>
      <c r="S64" s="366"/>
      <c r="T64" s="366"/>
      <c r="U64" s="366"/>
      <c r="V64" s="366"/>
      <c r="W64" s="366"/>
      <c r="X64" s="366"/>
      <c r="Y64" s="366"/>
      <c r="Z64" s="366"/>
      <c r="AA64" s="366"/>
      <c r="AB64" s="366"/>
      <c r="AC64" s="366"/>
      <c r="AD64" s="366"/>
      <c r="AE64" s="366"/>
      <c r="AF64" s="366"/>
      <c r="AG64" s="366"/>
      <c r="AH64" s="366"/>
      <c r="AI64" s="366"/>
      <c r="AJ64" s="366"/>
      <c r="AK64" s="366"/>
      <c r="AL64" s="367"/>
      <c r="AM64" s="77"/>
      <c r="AN64" s="78"/>
      <c r="AO64" s="78"/>
      <c r="AP64" s="78"/>
      <c r="AQ64" s="78"/>
      <c r="AR64" s="79"/>
      <c r="AS64" s="80" t="s">
        <v>106</v>
      </c>
      <c r="AT64" s="81"/>
      <c r="AU64" s="81"/>
      <c r="AV64" s="81"/>
      <c r="AW64" s="81"/>
      <c r="AX64" s="81"/>
      <c r="AY64" s="81"/>
      <c r="AZ64" s="82"/>
      <c r="BA64" s="77"/>
      <c r="BB64" s="78"/>
      <c r="BC64" s="78"/>
      <c r="BD64" s="78"/>
      <c r="BE64" s="78"/>
      <c r="BF64" s="78"/>
      <c r="BG64" s="79"/>
      <c r="BH64" s="171"/>
      <c r="BI64" s="172"/>
      <c r="BJ64" s="172"/>
      <c r="BK64" s="172"/>
      <c r="BL64" s="173"/>
      <c r="BM64" s="68"/>
      <c r="BN64" s="115"/>
      <c r="BO64" s="114"/>
      <c r="BP64" s="115"/>
      <c r="BQ64" s="114"/>
      <c r="BR64" s="115"/>
      <c r="BS64" s="114"/>
      <c r="BT64" s="115"/>
      <c r="BU64" s="114"/>
      <c r="BV64" s="115"/>
      <c r="BW64" s="114"/>
      <c r="BX64" s="177"/>
      <c r="CA64" s="5">
        <f>DATEVALUE(C64&amp;F64&amp;H64&amp;J64)</f>
        <v>42461</v>
      </c>
      <c r="HI64" s="1"/>
      <c r="HJ64" s="1"/>
      <c r="HK64" s="1"/>
      <c r="HL64" s="1"/>
      <c r="HM64" s="1"/>
      <c r="HN64" s="1"/>
      <c r="HO64" s="1"/>
      <c r="HP64" s="1"/>
    </row>
    <row r="65" spans="1:224" ht="15.75" customHeight="1">
      <c r="A65" s="141"/>
      <c r="B65" s="142"/>
      <c r="C65" s="136"/>
      <c r="D65" s="137"/>
      <c r="E65" s="137"/>
      <c r="F65" s="137"/>
      <c r="G65" s="137"/>
      <c r="H65" s="137"/>
      <c r="I65" s="137"/>
      <c r="J65" s="137"/>
      <c r="K65" s="138"/>
      <c r="L65" s="366"/>
      <c r="M65" s="366"/>
      <c r="N65" s="366"/>
      <c r="O65" s="366"/>
      <c r="P65" s="366"/>
      <c r="Q65" s="366"/>
      <c r="R65" s="366"/>
      <c r="S65" s="366"/>
      <c r="T65" s="366"/>
      <c r="U65" s="366"/>
      <c r="V65" s="366"/>
      <c r="W65" s="366"/>
      <c r="X65" s="366"/>
      <c r="Y65" s="366"/>
      <c r="Z65" s="366"/>
      <c r="AA65" s="366"/>
      <c r="AB65" s="366"/>
      <c r="AC65" s="366"/>
      <c r="AD65" s="366"/>
      <c r="AE65" s="366"/>
      <c r="AF65" s="366"/>
      <c r="AG65" s="366"/>
      <c r="AH65" s="366"/>
      <c r="AI65" s="366"/>
      <c r="AJ65" s="366"/>
      <c r="AK65" s="366"/>
      <c r="AL65" s="367"/>
      <c r="AM65" s="77"/>
      <c r="AN65" s="78"/>
      <c r="AO65" s="78"/>
      <c r="AP65" s="78"/>
      <c r="AQ65" s="78"/>
      <c r="AR65" s="79"/>
      <c r="AS65" s="80"/>
      <c r="AT65" s="81"/>
      <c r="AU65" s="81"/>
      <c r="AV65" s="81"/>
      <c r="AW65" s="81"/>
      <c r="AX65" s="81"/>
      <c r="AY65" s="81"/>
      <c r="AZ65" s="82"/>
      <c r="BA65" s="77"/>
      <c r="BB65" s="78"/>
      <c r="BC65" s="78"/>
      <c r="BD65" s="78"/>
      <c r="BE65" s="78"/>
      <c r="BF65" s="78"/>
      <c r="BG65" s="79"/>
      <c r="BH65" s="68"/>
      <c r="BI65" s="69"/>
      <c r="BJ65" s="69"/>
      <c r="BK65" s="69"/>
      <c r="BL65" s="177"/>
      <c r="BM65" s="68"/>
      <c r="BN65" s="115"/>
      <c r="BO65" s="114"/>
      <c r="BP65" s="115"/>
      <c r="BQ65" s="114"/>
      <c r="BR65" s="115"/>
      <c r="BS65" s="114"/>
      <c r="BT65" s="115"/>
      <c r="BU65" s="114"/>
      <c r="BV65" s="115"/>
      <c r="BW65" s="114"/>
      <c r="BX65" s="177"/>
    </row>
    <row r="66" spans="1:224" ht="15.75" customHeight="1">
      <c r="A66" s="141"/>
      <c r="B66" s="142"/>
      <c r="C66" s="71"/>
      <c r="D66" s="72"/>
      <c r="E66" s="72"/>
      <c r="F66" s="72"/>
      <c r="G66" s="72"/>
      <c r="H66" s="72"/>
      <c r="I66" s="72"/>
      <c r="J66" s="72"/>
      <c r="K66" s="73"/>
      <c r="L66" s="366"/>
      <c r="M66" s="366"/>
      <c r="N66" s="366"/>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7"/>
      <c r="AM66" s="77"/>
      <c r="AN66" s="78"/>
      <c r="AO66" s="78"/>
      <c r="AP66" s="78"/>
      <c r="AQ66" s="78"/>
      <c r="AR66" s="79"/>
      <c r="AS66" s="80"/>
      <c r="AT66" s="81"/>
      <c r="AU66" s="81"/>
      <c r="AV66" s="81"/>
      <c r="AW66" s="81"/>
      <c r="AX66" s="81"/>
      <c r="AY66" s="81"/>
      <c r="AZ66" s="82"/>
      <c r="BA66" s="77"/>
      <c r="BB66" s="78"/>
      <c r="BC66" s="78"/>
      <c r="BD66" s="78"/>
      <c r="BE66" s="78"/>
      <c r="BF66" s="78"/>
      <c r="BG66" s="79"/>
      <c r="BH66" s="83" t="s">
        <v>74</v>
      </c>
      <c r="BI66" s="84"/>
      <c r="BJ66" s="84"/>
      <c r="BK66" s="84"/>
      <c r="BL66" s="85"/>
      <c r="BM66" s="68"/>
      <c r="BN66" s="115"/>
      <c r="BO66" s="114"/>
      <c r="BP66" s="115"/>
      <c r="BQ66" s="114"/>
      <c r="BR66" s="115"/>
      <c r="BS66" s="114"/>
      <c r="BT66" s="115"/>
      <c r="BU66" s="114"/>
      <c r="BV66" s="115"/>
      <c r="BW66" s="114"/>
      <c r="BX66" s="177"/>
    </row>
    <row r="67" spans="1:224" ht="15.75" customHeight="1">
      <c r="A67" s="143"/>
      <c r="B67" s="144"/>
      <c r="C67" s="86">
        <f ca="1">IFERROR(IF(AND(C64="",H64=""),ROUNDDOWN((DATEDIF($CA62,TODAY(),"m")+1)/12,0),ROUNDDOWN((DATEDIF($CA62,$CA64,"m")+1)/12,0)),"")</f>
        <v>2</v>
      </c>
      <c r="D67" s="87"/>
      <c r="E67" s="87"/>
      <c r="F67" s="88" t="s">
        <v>19</v>
      </c>
      <c r="G67" s="88"/>
      <c r="H67" s="87">
        <f ca="1">IFERROR(IF(AND(C64="",H64=""),DATEDIF($CA62,TODAY(),"m")-C67*12+1,DATEDIF($CA62,$CA64,"m")-C67*12+1),"")</f>
        <v>4</v>
      </c>
      <c r="I67" s="87"/>
      <c r="J67" s="88" t="s">
        <v>75</v>
      </c>
      <c r="K67" s="89"/>
      <c r="L67" s="368"/>
      <c r="M67" s="368"/>
      <c r="N67" s="368"/>
      <c r="O67" s="368"/>
      <c r="P67" s="368"/>
      <c r="Q67" s="368"/>
      <c r="R67" s="368"/>
      <c r="S67" s="368"/>
      <c r="T67" s="368"/>
      <c r="U67" s="368"/>
      <c r="V67" s="368"/>
      <c r="W67" s="368"/>
      <c r="X67" s="368"/>
      <c r="Y67" s="368"/>
      <c r="Z67" s="368"/>
      <c r="AA67" s="368"/>
      <c r="AB67" s="368"/>
      <c r="AC67" s="368"/>
      <c r="AD67" s="368"/>
      <c r="AE67" s="368"/>
      <c r="AF67" s="368"/>
      <c r="AG67" s="368"/>
      <c r="AH67" s="368"/>
      <c r="AI67" s="368"/>
      <c r="AJ67" s="368"/>
      <c r="AK67" s="368"/>
      <c r="AL67" s="369"/>
      <c r="AM67" s="93"/>
      <c r="AN67" s="94"/>
      <c r="AO67" s="94"/>
      <c r="AP67" s="94"/>
      <c r="AQ67" s="94"/>
      <c r="AR67" s="95"/>
      <c r="AS67" s="96"/>
      <c r="AT67" s="97"/>
      <c r="AU67" s="97"/>
      <c r="AV67" s="97"/>
      <c r="AW67" s="97"/>
      <c r="AX67" s="97"/>
      <c r="AY67" s="97"/>
      <c r="AZ67" s="98"/>
      <c r="BA67" s="93"/>
      <c r="BB67" s="94"/>
      <c r="BC67" s="94"/>
      <c r="BD67" s="94"/>
      <c r="BE67" s="94"/>
      <c r="BF67" s="94"/>
      <c r="BG67" s="95"/>
      <c r="BH67" s="99" t="s">
        <v>107</v>
      </c>
      <c r="BI67" s="100"/>
      <c r="BJ67" s="100"/>
      <c r="BK67" s="100"/>
      <c r="BL67" s="101"/>
      <c r="BM67" s="169"/>
      <c r="BN67" s="117"/>
      <c r="BO67" s="116"/>
      <c r="BP67" s="117"/>
      <c r="BQ67" s="116"/>
      <c r="BR67" s="117"/>
      <c r="BS67" s="116"/>
      <c r="BT67" s="117"/>
      <c r="BU67" s="116"/>
      <c r="BV67" s="117"/>
      <c r="BW67" s="116"/>
      <c r="BX67" s="227"/>
      <c r="CA67" s="5"/>
    </row>
    <row r="68" spans="1:224" ht="15.75" customHeight="1">
      <c r="A68" s="139" t="s">
        <v>497</v>
      </c>
      <c r="B68" s="140"/>
      <c r="C68" s="145" t="s">
        <v>121</v>
      </c>
      <c r="D68" s="146"/>
      <c r="E68" s="146"/>
      <c r="F68" s="147" t="s">
        <v>19</v>
      </c>
      <c r="G68" s="147"/>
      <c r="H68" s="148" t="s">
        <v>32</v>
      </c>
      <c r="I68" s="148"/>
      <c r="J68" s="147" t="s">
        <v>55</v>
      </c>
      <c r="K68" s="149"/>
      <c r="L68" s="150" t="s">
        <v>505</v>
      </c>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4"/>
      <c r="AM68" s="151" t="s">
        <v>122</v>
      </c>
      <c r="AN68" s="152"/>
      <c r="AO68" s="152"/>
      <c r="AP68" s="152"/>
      <c r="AQ68" s="152"/>
      <c r="AR68" s="153"/>
      <c r="AS68" s="154" t="s">
        <v>123</v>
      </c>
      <c r="AT68" s="155"/>
      <c r="AU68" s="155"/>
      <c r="AV68" s="155"/>
      <c r="AW68" s="155"/>
      <c r="AX68" s="155"/>
      <c r="AY68" s="155"/>
      <c r="AZ68" s="156"/>
      <c r="BA68" s="185" t="s">
        <v>124</v>
      </c>
      <c r="BB68" s="186"/>
      <c r="BC68" s="186"/>
      <c r="BD68" s="186"/>
      <c r="BE68" s="186"/>
      <c r="BF68" s="186"/>
      <c r="BG68" s="187"/>
      <c r="BH68" s="174" t="s">
        <v>59</v>
      </c>
      <c r="BI68" s="175"/>
      <c r="BJ68" s="175"/>
      <c r="BK68" s="175"/>
      <c r="BL68" s="176"/>
      <c r="BM68" s="167" t="s">
        <v>60</v>
      </c>
      <c r="BN68" s="168"/>
      <c r="BO68" s="170"/>
      <c r="BP68" s="168"/>
      <c r="BQ68" s="170"/>
      <c r="BR68" s="168"/>
      <c r="BS68" s="170"/>
      <c r="BT68" s="168"/>
      <c r="BU68" s="170"/>
      <c r="BV68" s="168"/>
      <c r="BW68" s="170" t="s">
        <v>62</v>
      </c>
      <c r="BX68" s="226"/>
      <c r="CA68" s="5">
        <f>DATEVALUE(C68&amp;F68&amp;H68&amp;J68)</f>
        <v>41275</v>
      </c>
      <c r="HI68" s="1"/>
      <c r="HJ68" s="1"/>
      <c r="HK68" s="1"/>
      <c r="HL68" s="1"/>
      <c r="HM68" s="1"/>
      <c r="HN68" s="1"/>
      <c r="HO68" s="1"/>
      <c r="HP68" s="1"/>
    </row>
    <row r="69" spans="1:224" ht="15.75" customHeight="1">
      <c r="A69" s="141"/>
      <c r="B69" s="142"/>
      <c r="C69" s="121" t="s">
        <v>63</v>
      </c>
      <c r="D69" s="122"/>
      <c r="E69" s="122"/>
      <c r="F69" s="122"/>
      <c r="G69" s="122"/>
      <c r="H69" s="122"/>
      <c r="I69" s="122"/>
      <c r="J69" s="122"/>
      <c r="K69" s="123"/>
      <c r="L69" s="157" t="s">
        <v>516</v>
      </c>
      <c r="M69" s="157"/>
      <c r="N69" s="157"/>
      <c r="O69" s="157"/>
      <c r="P69" s="157"/>
      <c r="Q69" s="157"/>
      <c r="R69" s="157"/>
      <c r="S69" s="157"/>
      <c r="T69" s="157"/>
      <c r="U69" s="157"/>
      <c r="V69" s="157"/>
      <c r="W69" s="157"/>
      <c r="X69" s="157"/>
      <c r="Y69" s="157"/>
      <c r="Z69" s="157"/>
      <c r="AA69" s="157"/>
      <c r="AB69" s="157"/>
      <c r="AC69" s="157"/>
      <c r="AD69" s="157"/>
      <c r="AE69" s="157"/>
      <c r="AF69" s="157"/>
      <c r="AG69" s="157"/>
      <c r="AH69" s="157"/>
      <c r="AI69" s="157"/>
      <c r="AJ69" s="157"/>
      <c r="AK69" s="157"/>
      <c r="AL69" s="365"/>
      <c r="AM69" s="77"/>
      <c r="AN69" s="78"/>
      <c r="AO69" s="78"/>
      <c r="AP69" s="78"/>
      <c r="AQ69" s="78"/>
      <c r="AR69" s="79"/>
      <c r="AS69" s="80"/>
      <c r="AT69" s="81"/>
      <c r="AU69" s="81"/>
      <c r="AV69" s="81"/>
      <c r="AW69" s="81"/>
      <c r="AX69" s="81"/>
      <c r="AY69" s="81"/>
      <c r="AZ69" s="82"/>
      <c r="BA69" s="77"/>
      <c r="BB69" s="78"/>
      <c r="BC69" s="78"/>
      <c r="BD69" s="78"/>
      <c r="BE69" s="78"/>
      <c r="BF69" s="78"/>
      <c r="BG69" s="79"/>
      <c r="BH69" s="124" t="s">
        <v>93</v>
      </c>
      <c r="BI69" s="125"/>
      <c r="BJ69" s="125"/>
      <c r="BK69" s="125"/>
      <c r="BL69" s="126"/>
      <c r="BM69" s="68"/>
      <c r="BN69" s="115"/>
      <c r="BO69" s="114"/>
      <c r="BP69" s="115"/>
      <c r="BQ69" s="114"/>
      <c r="BR69" s="115"/>
      <c r="BS69" s="114"/>
      <c r="BT69" s="115"/>
      <c r="BU69" s="114"/>
      <c r="BV69" s="115"/>
      <c r="BW69" s="114"/>
      <c r="BX69" s="177"/>
      <c r="HI69" s="1"/>
      <c r="HJ69" s="1"/>
      <c r="HK69" s="1"/>
      <c r="HL69" s="1"/>
      <c r="HM69" s="1"/>
      <c r="HN69" s="1"/>
      <c r="HO69" s="1"/>
      <c r="HP69" s="1"/>
    </row>
    <row r="70" spans="1:224" ht="15.75" customHeight="1">
      <c r="A70" s="141"/>
      <c r="B70" s="142"/>
      <c r="C70" s="127" t="s">
        <v>121</v>
      </c>
      <c r="D70" s="128"/>
      <c r="E70" s="128"/>
      <c r="F70" s="129" t="s">
        <v>19</v>
      </c>
      <c r="G70" s="129"/>
      <c r="H70" s="130" t="s">
        <v>78</v>
      </c>
      <c r="I70" s="130"/>
      <c r="J70" s="129" t="s">
        <v>55</v>
      </c>
      <c r="K70" s="131"/>
      <c r="L70" s="366"/>
      <c r="M70" s="366"/>
      <c r="N70" s="366"/>
      <c r="O70" s="366"/>
      <c r="P70" s="366"/>
      <c r="Q70" s="366"/>
      <c r="R70" s="366"/>
      <c r="S70" s="366"/>
      <c r="T70" s="366"/>
      <c r="U70" s="366"/>
      <c r="V70" s="366"/>
      <c r="W70" s="366"/>
      <c r="X70" s="366"/>
      <c r="Y70" s="366"/>
      <c r="Z70" s="366"/>
      <c r="AA70" s="366"/>
      <c r="AB70" s="366"/>
      <c r="AC70" s="366"/>
      <c r="AD70" s="366"/>
      <c r="AE70" s="366"/>
      <c r="AF70" s="366"/>
      <c r="AG70" s="366"/>
      <c r="AH70" s="366"/>
      <c r="AI70" s="366"/>
      <c r="AJ70" s="366"/>
      <c r="AK70" s="366"/>
      <c r="AL70" s="367"/>
      <c r="AM70" s="77"/>
      <c r="AN70" s="78"/>
      <c r="AO70" s="78"/>
      <c r="AP70" s="78"/>
      <c r="AQ70" s="78"/>
      <c r="AR70" s="79"/>
      <c r="AS70" s="80"/>
      <c r="AT70" s="81"/>
      <c r="AU70" s="81"/>
      <c r="AV70" s="81"/>
      <c r="AW70" s="81"/>
      <c r="AX70" s="81"/>
      <c r="AY70" s="81"/>
      <c r="AZ70" s="82"/>
      <c r="BA70" s="77"/>
      <c r="BB70" s="78"/>
      <c r="BC70" s="78"/>
      <c r="BD70" s="78"/>
      <c r="BE70" s="78"/>
      <c r="BF70" s="78"/>
      <c r="BG70" s="79"/>
      <c r="BH70" s="171"/>
      <c r="BI70" s="172"/>
      <c r="BJ70" s="172"/>
      <c r="BK70" s="172"/>
      <c r="BL70" s="173"/>
      <c r="BM70" s="68"/>
      <c r="BN70" s="115"/>
      <c r="BO70" s="114"/>
      <c r="BP70" s="115"/>
      <c r="BQ70" s="114"/>
      <c r="BR70" s="115"/>
      <c r="BS70" s="114"/>
      <c r="BT70" s="115"/>
      <c r="BU70" s="114"/>
      <c r="BV70" s="115"/>
      <c r="BW70" s="114"/>
      <c r="BX70" s="177"/>
      <c r="CA70" s="5">
        <f>DATEVALUE(C70&amp;F70&amp;H70&amp;J70)</f>
        <v>41609</v>
      </c>
      <c r="HI70" s="1"/>
      <c r="HJ70" s="1"/>
      <c r="HK70" s="1"/>
      <c r="HL70" s="1"/>
      <c r="HM70" s="1"/>
      <c r="HN70" s="1"/>
      <c r="HO70" s="1"/>
      <c r="HP70" s="1"/>
    </row>
    <row r="71" spans="1:224" ht="15.75" customHeight="1">
      <c r="A71" s="141"/>
      <c r="B71" s="142"/>
      <c r="C71" s="136"/>
      <c r="D71" s="137"/>
      <c r="E71" s="137"/>
      <c r="F71" s="137"/>
      <c r="G71" s="137"/>
      <c r="H71" s="137"/>
      <c r="I71" s="137"/>
      <c r="J71" s="137"/>
      <c r="K71" s="138"/>
      <c r="L71" s="366"/>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7"/>
      <c r="AM71" s="77"/>
      <c r="AN71" s="78"/>
      <c r="AO71" s="78"/>
      <c r="AP71" s="78"/>
      <c r="AQ71" s="78"/>
      <c r="AR71" s="79"/>
      <c r="AS71" s="80"/>
      <c r="AT71" s="81"/>
      <c r="AU71" s="81"/>
      <c r="AV71" s="81"/>
      <c r="AW71" s="81"/>
      <c r="AX71" s="81"/>
      <c r="AY71" s="81"/>
      <c r="AZ71" s="82"/>
      <c r="BA71" s="77"/>
      <c r="BB71" s="78"/>
      <c r="BC71" s="78"/>
      <c r="BD71" s="78"/>
      <c r="BE71" s="78"/>
      <c r="BF71" s="78"/>
      <c r="BG71" s="79"/>
      <c r="BH71" s="68"/>
      <c r="BI71" s="69"/>
      <c r="BJ71" s="69"/>
      <c r="BK71" s="69"/>
      <c r="BL71" s="177"/>
      <c r="BM71" s="68"/>
      <c r="BN71" s="115"/>
      <c r="BO71" s="114"/>
      <c r="BP71" s="115"/>
      <c r="BQ71" s="114"/>
      <c r="BR71" s="115"/>
      <c r="BS71" s="114"/>
      <c r="BT71" s="115"/>
      <c r="BU71" s="114"/>
      <c r="BV71" s="115"/>
      <c r="BW71" s="114"/>
      <c r="BX71" s="177"/>
    </row>
    <row r="72" spans="1:224" ht="15.75" customHeight="1">
      <c r="A72" s="141"/>
      <c r="B72" s="142"/>
      <c r="C72" s="71"/>
      <c r="D72" s="72"/>
      <c r="E72" s="72"/>
      <c r="F72" s="72"/>
      <c r="G72" s="72"/>
      <c r="H72" s="72"/>
      <c r="I72" s="72"/>
      <c r="J72" s="72"/>
      <c r="K72" s="73"/>
      <c r="L72" s="366"/>
      <c r="M72" s="366"/>
      <c r="N72" s="366"/>
      <c r="O72" s="366"/>
      <c r="P72" s="366"/>
      <c r="Q72" s="366"/>
      <c r="R72" s="366"/>
      <c r="S72" s="366"/>
      <c r="T72" s="366"/>
      <c r="U72" s="366"/>
      <c r="V72" s="366"/>
      <c r="W72" s="366"/>
      <c r="X72" s="366"/>
      <c r="Y72" s="366"/>
      <c r="Z72" s="366"/>
      <c r="AA72" s="366"/>
      <c r="AB72" s="366"/>
      <c r="AC72" s="366"/>
      <c r="AD72" s="366"/>
      <c r="AE72" s="366"/>
      <c r="AF72" s="366"/>
      <c r="AG72" s="366"/>
      <c r="AH72" s="366"/>
      <c r="AI72" s="366"/>
      <c r="AJ72" s="366"/>
      <c r="AK72" s="366"/>
      <c r="AL72" s="367"/>
      <c r="AM72" s="77"/>
      <c r="AN72" s="78"/>
      <c r="AO72" s="78"/>
      <c r="AP72" s="78"/>
      <c r="AQ72" s="78"/>
      <c r="AR72" s="79"/>
      <c r="AS72" s="80"/>
      <c r="AT72" s="81"/>
      <c r="AU72" s="81"/>
      <c r="AV72" s="81"/>
      <c r="AW72" s="81"/>
      <c r="AX72" s="81"/>
      <c r="AY72" s="81"/>
      <c r="AZ72" s="82"/>
      <c r="BA72" s="77"/>
      <c r="BB72" s="78"/>
      <c r="BC72" s="78"/>
      <c r="BD72" s="78"/>
      <c r="BE72" s="78"/>
      <c r="BF72" s="78"/>
      <c r="BG72" s="79"/>
      <c r="BH72" s="83" t="s">
        <v>74</v>
      </c>
      <c r="BI72" s="84"/>
      <c r="BJ72" s="84"/>
      <c r="BK72" s="84"/>
      <c r="BL72" s="85"/>
      <c r="BM72" s="68"/>
      <c r="BN72" s="115"/>
      <c r="BO72" s="114"/>
      <c r="BP72" s="115"/>
      <c r="BQ72" s="114"/>
      <c r="BR72" s="115"/>
      <c r="BS72" s="114"/>
      <c r="BT72" s="115"/>
      <c r="BU72" s="114"/>
      <c r="BV72" s="115"/>
      <c r="BW72" s="114"/>
      <c r="BX72" s="177"/>
    </row>
    <row r="73" spans="1:224" ht="15.75" customHeight="1">
      <c r="A73" s="143"/>
      <c r="B73" s="144"/>
      <c r="C73" s="86">
        <f ca="1">IFERROR(IF(AND(C70="",H70=""),ROUNDDOWN((DATEDIF($CA68,TODAY(),"m")+1)/12,0),ROUNDDOWN((DATEDIF($CA68,$CA70,"m")+1)/12,0)),"")</f>
        <v>1</v>
      </c>
      <c r="D73" s="87"/>
      <c r="E73" s="87"/>
      <c r="F73" s="88" t="s">
        <v>19</v>
      </c>
      <c r="G73" s="88"/>
      <c r="H73" s="87">
        <f ca="1">IFERROR(IF(AND(C70="",H70=""),DATEDIF($CA68,TODAY(),"m")-C73*12+1,DATEDIF($CA68,$CA70,"m")-C73*12+1),"")</f>
        <v>0</v>
      </c>
      <c r="I73" s="87"/>
      <c r="J73" s="88" t="s">
        <v>75</v>
      </c>
      <c r="K73" s="89"/>
      <c r="L73" s="368"/>
      <c r="M73" s="368"/>
      <c r="N73" s="368"/>
      <c r="O73" s="368"/>
      <c r="P73" s="368"/>
      <c r="Q73" s="368"/>
      <c r="R73" s="368"/>
      <c r="S73" s="368"/>
      <c r="T73" s="368"/>
      <c r="U73" s="368"/>
      <c r="V73" s="368"/>
      <c r="W73" s="368"/>
      <c r="X73" s="368"/>
      <c r="Y73" s="368"/>
      <c r="Z73" s="368"/>
      <c r="AA73" s="368"/>
      <c r="AB73" s="368"/>
      <c r="AC73" s="368"/>
      <c r="AD73" s="368"/>
      <c r="AE73" s="368"/>
      <c r="AF73" s="368"/>
      <c r="AG73" s="368"/>
      <c r="AH73" s="368"/>
      <c r="AI73" s="368"/>
      <c r="AJ73" s="368"/>
      <c r="AK73" s="368"/>
      <c r="AL73" s="369"/>
      <c r="AM73" s="93"/>
      <c r="AN73" s="94"/>
      <c r="AO73" s="94"/>
      <c r="AP73" s="94"/>
      <c r="AQ73" s="94"/>
      <c r="AR73" s="95"/>
      <c r="AS73" s="96"/>
      <c r="AT73" s="97"/>
      <c r="AU73" s="97"/>
      <c r="AV73" s="97"/>
      <c r="AW73" s="97"/>
      <c r="AX73" s="97"/>
      <c r="AY73" s="97"/>
      <c r="AZ73" s="98"/>
      <c r="BA73" s="93"/>
      <c r="BB73" s="94"/>
      <c r="BC73" s="94"/>
      <c r="BD73" s="94"/>
      <c r="BE73" s="94"/>
      <c r="BF73" s="94"/>
      <c r="BG73" s="95"/>
      <c r="BH73" s="99" t="s">
        <v>107</v>
      </c>
      <c r="BI73" s="100"/>
      <c r="BJ73" s="100"/>
      <c r="BK73" s="100"/>
      <c r="BL73" s="101"/>
      <c r="BM73" s="169"/>
      <c r="BN73" s="117"/>
      <c r="BO73" s="116"/>
      <c r="BP73" s="117"/>
      <c r="BQ73" s="116"/>
      <c r="BR73" s="117"/>
      <c r="BS73" s="116"/>
      <c r="BT73" s="117"/>
      <c r="BU73" s="116"/>
      <c r="BV73" s="117"/>
      <c r="BW73" s="116"/>
      <c r="BX73" s="227"/>
      <c r="CA73" s="5"/>
    </row>
    <row r="74" spans="1:224" ht="15.75" customHeight="1">
      <c r="A74" s="139" t="s">
        <v>87</v>
      </c>
      <c r="B74" s="140"/>
      <c r="C74" s="145" t="s">
        <v>125</v>
      </c>
      <c r="D74" s="146"/>
      <c r="E74" s="146"/>
      <c r="F74" s="147" t="s">
        <v>19</v>
      </c>
      <c r="G74" s="147"/>
      <c r="H74" s="148" t="s">
        <v>126</v>
      </c>
      <c r="I74" s="148"/>
      <c r="J74" s="147" t="s">
        <v>55</v>
      </c>
      <c r="K74" s="149"/>
      <c r="L74" s="150" t="s">
        <v>127</v>
      </c>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4"/>
      <c r="AM74" s="151" t="s">
        <v>128</v>
      </c>
      <c r="AN74" s="152"/>
      <c r="AO74" s="152"/>
      <c r="AP74" s="152"/>
      <c r="AQ74" s="152"/>
      <c r="AR74" s="153"/>
      <c r="AS74" s="154" t="s">
        <v>114</v>
      </c>
      <c r="AT74" s="155"/>
      <c r="AU74" s="155"/>
      <c r="AV74" s="155"/>
      <c r="AW74" s="155"/>
      <c r="AX74" s="155"/>
      <c r="AY74" s="155"/>
      <c r="AZ74" s="156"/>
      <c r="BA74" s="185" t="s">
        <v>118</v>
      </c>
      <c r="BB74" s="186"/>
      <c r="BC74" s="186"/>
      <c r="BD74" s="186"/>
      <c r="BE74" s="186"/>
      <c r="BF74" s="186"/>
      <c r="BG74" s="187"/>
      <c r="BH74" s="174" t="s">
        <v>59</v>
      </c>
      <c r="BI74" s="175"/>
      <c r="BJ74" s="175"/>
      <c r="BK74" s="175"/>
      <c r="BL74" s="176"/>
      <c r="BM74" s="167" t="s">
        <v>60</v>
      </c>
      <c r="BN74" s="168"/>
      <c r="BO74" s="170"/>
      <c r="BP74" s="168"/>
      <c r="BQ74" s="170"/>
      <c r="BR74" s="168"/>
      <c r="BS74" s="170"/>
      <c r="BT74" s="168"/>
      <c r="BU74" s="170" t="s">
        <v>62</v>
      </c>
      <c r="BV74" s="168"/>
      <c r="BW74" s="170" t="s">
        <v>62</v>
      </c>
      <c r="BX74" s="226"/>
      <c r="CA74" s="5">
        <f>DATEVALUE(C74&amp;F74&amp;H74&amp;J74)</f>
        <v>40756</v>
      </c>
      <c r="HI74" s="1"/>
      <c r="HJ74" s="1"/>
      <c r="HK74" s="1"/>
      <c r="HL74" s="1"/>
      <c r="HM74" s="1"/>
      <c r="HN74" s="1"/>
      <c r="HO74" s="1"/>
      <c r="HP74" s="1"/>
    </row>
    <row r="75" spans="1:224" ht="15.75" customHeight="1">
      <c r="A75" s="141"/>
      <c r="B75" s="142"/>
      <c r="C75" s="121" t="s">
        <v>63</v>
      </c>
      <c r="D75" s="122"/>
      <c r="E75" s="122"/>
      <c r="F75" s="122"/>
      <c r="G75" s="122"/>
      <c r="H75" s="122"/>
      <c r="I75" s="122"/>
      <c r="J75" s="122"/>
      <c r="K75" s="123"/>
      <c r="L75" s="157" t="s">
        <v>129</v>
      </c>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9"/>
      <c r="AM75" s="77"/>
      <c r="AN75" s="78"/>
      <c r="AO75" s="78"/>
      <c r="AP75" s="78"/>
      <c r="AQ75" s="78"/>
      <c r="AR75" s="79"/>
      <c r="AS75" s="80"/>
      <c r="AT75" s="81"/>
      <c r="AU75" s="81"/>
      <c r="AV75" s="81"/>
      <c r="AW75" s="81"/>
      <c r="AX75" s="81"/>
      <c r="AY75" s="81"/>
      <c r="AZ75" s="82"/>
      <c r="BA75" s="77" t="s">
        <v>130</v>
      </c>
      <c r="BB75" s="78"/>
      <c r="BC75" s="78"/>
      <c r="BD75" s="78"/>
      <c r="BE75" s="78"/>
      <c r="BF75" s="78"/>
      <c r="BG75" s="79"/>
      <c r="BH75" s="124" t="s">
        <v>93</v>
      </c>
      <c r="BI75" s="125"/>
      <c r="BJ75" s="125"/>
      <c r="BK75" s="125"/>
      <c r="BL75" s="126"/>
      <c r="BM75" s="68"/>
      <c r="BN75" s="115"/>
      <c r="BO75" s="114"/>
      <c r="BP75" s="115"/>
      <c r="BQ75" s="114"/>
      <c r="BR75" s="115"/>
      <c r="BS75" s="114"/>
      <c r="BT75" s="115"/>
      <c r="BU75" s="114"/>
      <c r="BV75" s="115"/>
      <c r="BW75" s="114"/>
      <c r="BX75" s="177"/>
      <c r="HI75" s="1"/>
      <c r="HJ75" s="1"/>
      <c r="HK75" s="1"/>
      <c r="HL75" s="1"/>
      <c r="HM75" s="1"/>
      <c r="HN75" s="1"/>
      <c r="HO75" s="1"/>
      <c r="HP75" s="1"/>
    </row>
    <row r="76" spans="1:224" ht="15.75" customHeight="1">
      <c r="A76" s="141"/>
      <c r="B76" s="142"/>
      <c r="C76" s="127" t="s">
        <v>131</v>
      </c>
      <c r="D76" s="128"/>
      <c r="E76" s="128"/>
      <c r="F76" s="129" t="s">
        <v>19</v>
      </c>
      <c r="G76" s="129"/>
      <c r="H76" s="130" t="s">
        <v>78</v>
      </c>
      <c r="I76" s="130"/>
      <c r="J76" s="129" t="s">
        <v>55</v>
      </c>
      <c r="K76" s="131"/>
      <c r="L76" s="160"/>
      <c r="M76" s="160"/>
      <c r="N76" s="160"/>
      <c r="O76" s="160"/>
      <c r="P76" s="160"/>
      <c r="Q76" s="160"/>
      <c r="R76" s="160"/>
      <c r="S76" s="160"/>
      <c r="T76" s="160"/>
      <c r="U76" s="160"/>
      <c r="V76" s="160"/>
      <c r="W76" s="160"/>
      <c r="X76" s="160"/>
      <c r="Y76" s="160"/>
      <c r="Z76" s="160"/>
      <c r="AA76" s="160"/>
      <c r="AB76" s="160"/>
      <c r="AC76" s="160"/>
      <c r="AD76" s="160"/>
      <c r="AE76" s="160"/>
      <c r="AF76" s="160"/>
      <c r="AG76" s="160"/>
      <c r="AH76" s="160"/>
      <c r="AI76" s="160"/>
      <c r="AJ76" s="160"/>
      <c r="AK76" s="160"/>
      <c r="AL76" s="161"/>
      <c r="AM76" s="77"/>
      <c r="AN76" s="78"/>
      <c r="AO76" s="78"/>
      <c r="AP76" s="78"/>
      <c r="AQ76" s="78"/>
      <c r="AR76" s="79"/>
      <c r="AS76" s="80"/>
      <c r="AT76" s="81"/>
      <c r="AU76" s="81"/>
      <c r="AV76" s="81"/>
      <c r="AW76" s="81"/>
      <c r="AX76" s="81"/>
      <c r="AY76" s="81"/>
      <c r="AZ76" s="82"/>
      <c r="BA76" s="77" t="s">
        <v>132</v>
      </c>
      <c r="BB76" s="78"/>
      <c r="BC76" s="78"/>
      <c r="BD76" s="78"/>
      <c r="BE76" s="78"/>
      <c r="BF76" s="78"/>
      <c r="BG76" s="79"/>
      <c r="BH76" s="171"/>
      <c r="BI76" s="172"/>
      <c r="BJ76" s="172"/>
      <c r="BK76" s="172"/>
      <c r="BL76" s="173"/>
      <c r="BM76" s="68"/>
      <c r="BN76" s="115"/>
      <c r="BO76" s="114"/>
      <c r="BP76" s="115"/>
      <c r="BQ76" s="114"/>
      <c r="BR76" s="115"/>
      <c r="BS76" s="114"/>
      <c r="BT76" s="115"/>
      <c r="BU76" s="114"/>
      <c r="BV76" s="115"/>
      <c r="BW76" s="114"/>
      <c r="BX76" s="177"/>
      <c r="CA76" s="5">
        <f>DATEVALUE(C76&amp;F76&amp;H76&amp;J76)</f>
        <v>41244</v>
      </c>
      <c r="HI76" s="1"/>
      <c r="HJ76" s="1"/>
      <c r="HK76" s="1"/>
      <c r="HL76" s="1"/>
      <c r="HM76" s="1"/>
      <c r="HN76" s="1"/>
      <c r="HO76" s="1"/>
      <c r="HP76" s="1"/>
    </row>
    <row r="77" spans="1:224" ht="15.75" customHeight="1">
      <c r="A77" s="141"/>
      <c r="B77" s="142"/>
      <c r="C77" s="136"/>
      <c r="D77" s="137"/>
      <c r="E77" s="137"/>
      <c r="F77" s="137"/>
      <c r="G77" s="137"/>
      <c r="H77" s="137"/>
      <c r="I77" s="137"/>
      <c r="J77" s="137"/>
      <c r="K77" s="138"/>
      <c r="L77" s="160"/>
      <c r="M77" s="160"/>
      <c r="N77" s="160"/>
      <c r="O77" s="160"/>
      <c r="P77" s="160"/>
      <c r="Q77" s="160"/>
      <c r="R77" s="160"/>
      <c r="S77" s="160"/>
      <c r="T77" s="160"/>
      <c r="U77" s="160"/>
      <c r="V77" s="160"/>
      <c r="W77" s="160"/>
      <c r="X77" s="160"/>
      <c r="Y77" s="160"/>
      <c r="Z77" s="160"/>
      <c r="AA77" s="160"/>
      <c r="AB77" s="160"/>
      <c r="AC77" s="160"/>
      <c r="AD77" s="160"/>
      <c r="AE77" s="160"/>
      <c r="AF77" s="160"/>
      <c r="AG77" s="160"/>
      <c r="AH77" s="160"/>
      <c r="AI77" s="160"/>
      <c r="AJ77" s="160"/>
      <c r="AK77" s="160"/>
      <c r="AL77" s="161"/>
      <c r="AM77" s="77"/>
      <c r="AN77" s="78"/>
      <c r="AO77" s="78"/>
      <c r="AP77" s="78"/>
      <c r="AQ77" s="78"/>
      <c r="AR77" s="79"/>
      <c r="AS77" s="80"/>
      <c r="AT77" s="81"/>
      <c r="AU77" s="81"/>
      <c r="AV77" s="81"/>
      <c r="AW77" s="81"/>
      <c r="AX77" s="81"/>
      <c r="AY77" s="81"/>
      <c r="AZ77" s="82"/>
      <c r="BA77" s="77" t="s">
        <v>133</v>
      </c>
      <c r="BB77" s="78"/>
      <c r="BC77" s="78"/>
      <c r="BD77" s="78"/>
      <c r="BE77" s="78"/>
      <c r="BF77" s="78"/>
      <c r="BG77" s="79"/>
      <c r="BH77" s="68"/>
      <c r="BI77" s="69"/>
      <c r="BJ77" s="69"/>
      <c r="BK77" s="69"/>
      <c r="BL77" s="177"/>
      <c r="BM77" s="68"/>
      <c r="BN77" s="115"/>
      <c r="BO77" s="114"/>
      <c r="BP77" s="115"/>
      <c r="BQ77" s="114"/>
      <c r="BR77" s="115"/>
      <c r="BS77" s="114"/>
      <c r="BT77" s="115"/>
      <c r="BU77" s="114"/>
      <c r="BV77" s="115"/>
      <c r="BW77" s="114"/>
      <c r="BX77" s="177"/>
    </row>
    <row r="78" spans="1:224" ht="15.75" customHeight="1">
      <c r="A78" s="141"/>
      <c r="B78" s="142"/>
      <c r="C78" s="71"/>
      <c r="D78" s="72"/>
      <c r="E78" s="72"/>
      <c r="F78" s="72"/>
      <c r="G78" s="72"/>
      <c r="H78" s="72"/>
      <c r="I78" s="72"/>
      <c r="J78" s="72"/>
      <c r="K78" s="73"/>
      <c r="L78" s="160"/>
      <c r="M78" s="160"/>
      <c r="N78" s="160"/>
      <c r="O78" s="160"/>
      <c r="P78" s="160"/>
      <c r="Q78" s="160"/>
      <c r="R78" s="160"/>
      <c r="S78" s="160"/>
      <c r="T78" s="160"/>
      <c r="U78" s="160"/>
      <c r="V78" s="160"/>
      <c r="W78" s="160"/>
      <c r="X78" s="160"/>
      <c r="Y78" s="160"/>
      <c r="Z78" s="160"/>
      <c r="AA78" s="160"/>
      <c r="AB78" s="160"/>
      <c r="AC78" s="160"/>
      <c r="AD78" s="160"/>
      <c r="AE78" s="160"/>
      <c r="AF78" s="160"/>
      <c r="AG78" s="160"/>
      <c r="AH78" s="160"/>
      <c r="AI78" s="160"/>
      <c r="AJ78" s="160"/>
      <c r="AK78" s="160"/>
      <c r="AL78" s="161"/>
      <c r="AM78" s="77"/>
      <c r="AN78" s="78"/>
      <c r="AO78" s="78"/>
      <c r="AP78" s="78"/>
      <c r="AQ78" s="78"/>
      <c r="AR78" s="79"/>
      <c r="AS78" s="80"/>
      <c r="AT78" s="81"/>
      <c r="AU78" s="81"/>
      <c r="AV78" s="81"/>
      <c r="AW78" s="81"/>
      <c r="AX78" s="81"/>
      <c r="AY78" s="81"/>
      <c r="AZ78" s="82"/>
      <c r="BA78" s="77"/>
      <c r="BB78" s="78"/>
      <c r="BC78" s="78"/>
      <c r="BD78" s="78"/>
      <c r="BE78" s="78"/>
      <c r="BF78" s="78"/>
      <c r="BG78" s="79"/>
      <c r="BH78" s="83" t="s">
        <v>74</v>
      </c>
      <c r="BI78" s="84"/>
      <c r="BJ78" s="84"/>
      <c r="BK78" s="84"/>
      <c r="BL78" s="85"/>
      <c r="BM78" s="68"/>
      <c r="BN78" s="115"/>
      <c r="BO78" s="114"/>
      <c r="BP78" s="115"/>
      <c r="BQ78" s="114"/>
      <c r="BR78" s="115"/>
      <c r="BS78" s="114"/>
      <c r="BT78" s="115"/>
      <c r="BU78" s="114"/>
      <c r="BV78" s="115"/>
      <c r="BW78" s="114"/>
      <c r="BX78" s="177"/>
    </row>
    <row r="79" spans="1:224" ht="15.75" customHeight="1">
      <c r="A79" s="143"/>
      <c r="B79" s="144"/>
      <c r="C79" s="86">
        <f ca="1">IFERROR(IF(AND(C76="",H76=""),ROUNDDOWN((DATEDIF($CA74,TODAY(),"m")+1)/12,0),ROUNDDOWN((DATEDIF($CA74,$CA76,"m")+1)/12,0)),"")</f>
        <v>1</v>
      </c>
      <c r="D79" s="87"/>
      <c r="E79" s="87"/>
      <c r="F79" s="88" t="s">
        <v>19</v>
      </c>
      <c r="G79" s="88"/>
      <c r="H79" s="87">
        <f ca="1">IFERROR(IF(AND(C76="",H76=""),DATEDIF($CA74,TODAY(),"m")-C79*12+1,DATEDIF($CA74,$CA76,"m")-C79*12+1),"")</f>
        <v>5</v>
      </c>
      <c r="I79" s="87"/>
      <c r="J79" s="88" t="s">
        <v>75</v>
      </c>
      <c r="K79" s="89"/>
      <c r="L79" s="363"/>
      <c r="M79" s="363"/>
      <c r="N79" s="363"/>
      <c r="O79" s="363"/>
      <c r="P79" s="363"/>
      <c r="Q79" s="363"/>
      <c r="R79" s="363"/>
      <c r="S79" s="363"/>
      <c r="T79" s="363"/>
      <c r="U79" s="363"/>
      <c r="V79" s="363"/>
      <c r="W79" s="363"/>
      <c r="X79" s="363"/>
      <c r="Y79" s="363"/>
      <c r="Z79" s="363"/>
      <c r="AA79" s="363"/>
      <c r="AB79" s="363"/>
      <c r="AC79" s="363"/>
      <c r="AD79" s="363"/>
      <c r="AE79" s="363"/>
      <c r="AF79" s="363"/>
      <c r="AG79" s="363"/>
      <c r="AH79" s="363"/>
      <c r="AI79" s="363"/>
      <c r="AJ79" s="363"/>
      <c r="AK79" s="363"/>
      <c r="AL79" s="364"/>
      <c r="AM79" s="93"/>
      <c r="AN79" s="94"/>
      <c r="AO79" s="94"/>
      <c r="AP79" s="94"/>
      <c r="AQ79" s="94"/>
      <c r="AR79" s="95"/>
      <c r="AS79" s="96"/>
      <c r="AT79" s="97"/>
      <c r="AU79" s="97"/>
      <c r="AV79" s="97"/>
      <c r="AW79" s="97"/>
      <c r="AX79" s="97"/>
      <c r="AY79" s="97"/>
      <c r="AZ79" s="98"/>
      <c r="BA79" s="93"/>
      <c r="BB79" s="94"/>
      <c r="BC79" s="94"/>
      <c r="BD79" s="94"/>
      <c r="BE79" s="94"/>
      <c r="BF79" s="94"/>
      <c r="BG79" s="95"/>
      <c r="BH79" s="99" t="s">
        <v>134</v>
      </c>
      <c r="BI79" s="100"/>
      <c r="BJ79" s="100"/>
      <c r="BK79" s="100"/>
      <c r="BL79" s="101"/>
      <c r="BM79" s="169"/>
      <c r="BN79" s="117"/>
      <c r="BO79" s="116"/>
      <c r="BP79" s="117"/>
      <c r="BQ79" s="116"/>
      <c r="BR79" s="117"/>
      <c r="BS79" s="116"/>
      <c r="BT79" s="117"/>
      <c r="BU79" s="116"/>
      <c r="BV79" s="117"/>
      <c r="BW79" s="116"/>
      <c r="BX79" s="227"/>
      <c r="CA79" s="5"/>
    </row>
    <row r="80" spans="1:224" ht="15.75" customHeight="1">
      <c r="A80" s="370">
        <v>11</v>
      </c>
      <c r="B80" s="140"/>
      <c r="C80" s="145" t="s">
        <v>468</v>
      </c>
      <c r="D80" s="146"/>
      <c r="E80" s="146"/>
      <c r="F80" s="147" t="s">
        <v>19</v>
      </c>
      <c r="G80" s="147"/>
      <c r="H80" s="148" t="s">
        <v>32</v>
      </c>
      <c r="I80" s="148"/>
      <c r="J80" s="147" t="s">
        <v>55</v>
      </c>
      <c r="K80" s="149"/>
      <c r="L80" s="150" t="s">
        <v>135</v>
      </c>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4"/>
      <c r="AM80" s="151" t="s">
        <v>128</v>
      </c>
      <c r="AN80" s="152"/>
      <c r="AO80" s="152"/>
      <c r="AP80" s="152"/>
      <c r="AQ80" s="152"/>
      <c r="AR80" s="153"/>
      <c r="AS80" s="154" t="s">
        <v>114</v>
      </c>
      <c r="AT80" s="155"/>
      <c r="AU80" s="155"/>
      <c r="AV80" s="155"/>
      <c r="AW80" s="155"/>
      <c r="AX80" s="155"/>
      <c r="AY80" s="155"/>
      <c r="AZ80" s="156"/>
      <c r="BA80" s="185" t="s">
        <v>136</v>
      </c>
      <c r="BB80" s="186"/>
      <c r="BC80" s="186"/>
      <c r="BD80" s="186"/>
      <c r="BE80" s="186"/>
      <c r="BF80" s="186"/>
      <c r="BG80" s="187"/>
      <c r="BH80" s="174" t="s">
        <v>59</v>
      </c>
      <c r="BI80" s="175"/>
      <c r="BJ80" s="175"/>
      <c r="BK80" s="175"/>
      <c r="BL80" s="176"/>
      <c r="BM80" s="167" t="s">
        <v>60</v>
      </c>
      <c r="BN80" s="168"/>
      <c r="BO80" s="170" t="s">
        <v>62</v>
      </c>
      <c r="BP80" s="168"/>
      <c r="BQ80" s="170" t="s">
        <v>62</v>
      </c>
      <c r="BR80" s="168"/>
      <c r="BS80" s="170" t="s">
        <v>62</v>
      </c>
      <c r="BT80" s="168"/>
      <c r="BU80" s="170" t="s">
        <v>62</v>
      </c>
      <c r="BV80" s="168"/>
      <c r="BW80" s="170"/>
      <c r="BX80" s="226"/>
      <c r="CA80" s="5">
        <f>DATEVALUE(C80&amp;F80&amp;H80&amp;J80)</f>
        <v>40179</v>
      </c>
      <c r="HI80" s="1"/>
      <c r="HJ80" s="1"/>
      <c r="HK80" s="1"/>
      <c r="HL80" s="1"/>
      <c r="HM80" s="1"/>
      <c r="HN80" s="1"/>
      <c r="HO80" s="1"/>
      <c r="HP80" s="1"/>
    </row>
    <row r="81" spans="1:224" ht="16" customHeight="1">
      <c r="A81" s="141"/>
      <c r="B81" s="142"/>
      <c r="C81" s="121" t="s">
        <v>63</v>
      </c>
      <c r="D81" s="122"/>
      <c r="E81" s="122"/>
      <c r="F81" s="122"/>
      <c r="G81" s="122"/>
      <c r="H81" s="122"/>
      <c r="I81" s="122"/>
      <c r="J81" s="122"/>
      <c r="K81" s="123"/>
      <c r="L81" s="157" t="s">
        <v>137</v>
      </c>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9"/>
      <c r="AM81" s="77"/>
      <c r="AN81" s="78"/>
      <c r="AO81" s="78"/>
      <c r="AP81" s="78"/>
      <c r="AQ81" s="78"/>
      <c r="AR81" s="79"/>
      <c r="AS81" s="80"/>
      <c r="AT81" s="81"/>
      <c r="AU81" s="81"/>
      <c r="AV81" s="81"/>
      <c r="AW81" s="81"/>
      <c r="AX81" s="81"/>
      <c r="AY81" s="81"/>
      <c r="AZ81" s="82"/>
      <c r="BA81" s="77"/>
      <c r="BB81" s="78"/>
      <c r="BC81" s="78"/>
      <c r="BD81" s="78"/>
      <c r="BE81" s="78"/>
      <c r="BF81" s="78"/>
      <c r="BG81" s="79"/>
      <c r="BH81" s="124" t="s">
        <v>515</v>
      </c>
      <c r="BI81" s="125"/>
      <c r="BJ81" s="125"/>
      <c r="BK81" s="125"/>
      <c r="BL81" s="126"/>
      <c r="BM81" s="68"/>
      <c r="BN81" s="115"/>
      <c r="BO81" s="114"/>
      <c r="BP81" s="115"/>
      <c r="BQ81" s="114"/>
      <c r="BR81" s="115"/>
      <c r="BS81" s="114"/>
      <c r="BT81" s="115"/>
      <c r="BU81" s="114"/>
      <c r="BV81" s="115"/>
      <c r="BW81" s="114"/>
      <c r="BX81" s="177"/>
      <c r="HI81" s="1"/>
      <c r="HJ81" s="1"/>
      <c r="HK81" s="1"/>
      <c r="HL81" s="1"/>
      <c r="HM81" s="1"/>
      <c r="HN81" s="1"/>
      <c r="HO81" s="1"/>
      <c r="HP81" s="1"/>
    </row>
    <row r="82" spans="1:224" ht="15.75" customHeight="1">
      <c r="A82" s="141"/>
      <c r="B82" s="142"/>
      <c r="C82" s="127" t="s">
        <v>469</v>
      </c>
      <c r="D82" s="128"/>
      <c r="E82" s="128"/>
      <c r="F82" s="129" t="s">
        <v>19</v>
      </c>
      <c r="G82" s="129"/>
      <c r="H82" s="130" t="s">
        <v>140</v>
      </c>
      <c r="I82" s="130"/>
      <c r="J82" s="129" t="s">
        <v>55</v>
      </c>
      <c r="K82" s="131"/>
      <c r="L82" s="160"/>
      <c r="M82" s="160"/>
      <c r="N82" s="160"/>
      <c r="O82" s="160"/>
      <c r="P82" s="160"/>
      <c r="Q82" s="160"/>
      <c r="R82" s="160"/>
      <c r="S82" s="160"/>
      <c r="T82" s="160"/>
      <c r="U82" s="160"/>
      <c r="V82" s="160"/>
      <c r="W82" s="160"/>
      <c r="X82" s="160"/>
      <c r="Y82" s="160"/>
      <c r="Z82" s="160"/>
      <c r="AA82" s="160"/>
      <c r="AB82" s="160"/>
      <c r="AC82" s="160"/>
      <c r="AD82" s="160"/>
      <c r="AE82" s="160"/>
      <c r="AF82" s="160"/>
      <c r="AG82" s="160"/>
      <c r="AH82" s="160"/>
      <c r="AI82" s="160"/>
      <c r="AJ82" s="160"/>
      <c r="AK82" s="160"/>
      <c r="AL82" s="161"/>
      <c r="AM82" s="77"/>
      <c r="AN82" s="78"/>
      <c r="AO82" s="78"/>
      <c r="AP82" s="78"/>
      <c r="AQ82" s="78"/>
      <c r="AR82" s="79"/>
      <c r="AS82" s="80"/>
      <c r="AT82" s="81"/>
      <c r="AU82" s="81"/>
      <c r="AV82" s="81"/>
      <c r="AW82" s="81"/>
      <c r="AX82" s="81"/>
      <c r="AY82" s="81"/>
      <c r="AZ82" s="82"/>
      <c r="BA82" s="77"/>
      <c r="BB82" s="78"/>
      <c r="BC82" s="78"/>
      <c r="BD82" s="78"/>
      <c r="BE82" s="78"/>
      <c r="BF82" s="78"/>
      <c r="BG82" s="79"/>
      <c r="BH82" s="171"/>
      <c r="BI82" s="172"/>
      <c r="BJ82" s="172"/>
      <c r="BK82" s="172"/>
      <c r="BL82" s="173"/>
      <c r="BM82" s="68"/>
      <c r="BN82" s="115"/>
      <c r="BO82" s="114"/>
      <c r="BP82" s="115"/>
      <c r="BQ82" s="114"/>
      <c r="BR82" s="115"/>
      <c r="BS82" s="114"/>
      <c r="BT82" s="115"/>
      <c r="BU82" s="114"/>
      <c r="BV82" s="115"/>
      <c r="BW82" s="114"/>
      <c r="BX82" s="177"/>
      <c r="CA82" s="5">
        <f>DATEVALUE(C82&amp;F82&amp;H82&amp;J82)</f>
        <v>40695</v>
      </c>
      <c r="HI82" s="1"/>
      <c r="HJ82" s="1"/>
      <c r="HK82" s="1"/>
      <c r="HL82" s="1"/>
      <c r="HM82" s="1"/>
      <c r="HN82" s="1"/>
      <c r="HO82" s="1"/>
      <c r="HP82" s="1"/>
    </row>
    <row r="83" spans="1:224" ht="15.75" customHeight="1">
      <c r="A83" s="141"/>
      <c r="B83" s="142"/>
      <c r="C83" s="136"/>
      <c r="D83" s="137"/>
      <c r="E83" s="137"/>
      <c r="F83" s="137"/>
      <c r="G83" s="137"/>
      <c r="H83" s="137"/>
      <c r="I83" s="137"/>
      <c r="J83" s="137"/>
      <c r="K83" s="138"/>
      <c r="L83" s="160"/>
      <c r="M83" s="160"/>
      <c r="N83" s="160"/>
      <c r="O83" s="160"/>
      <c r="P83" s="160"/>
      <c r="Q83" s="160"/>
      <c r="R83" s="160"/>
      <c r="S83" s="160"/>
      <c r="T83" s="160"/>
      <c r="U83" s="160"/>
      <c r="V83" s="160"/>
      <c r="W83" s="160"/>
      <c r="X83" s="160"/>
      <c r="Y83" s="160"/>
      <c r="Z83" s="160"/>
      <c r="AA83" s="160"/>
      <c r="AB83" s="160"/>
      <c r="AC83" s="160"/>
      <c r="AD83" s="160"/>
      <c r="AE83" s="160"/>
      <c r="AF83" s="160"/>
      <c r="AG83" s="160"/>
      <c r="AH83" s="160"/>
      <c r="AI83" s="160"/>
      <c r="AJ83" s="160"/>
      <c r="AK83" s="160"/>
      <c r="AL83" s="161"/>
      <c r="AM83" s="77"/>
      <c r="AN83" s="78"/>
      <c r="AO83" s="78"/>
      <c r="AP83" s="78"/>
      <c r="AQ83" s="78"/>
      <c r="AR83" s="79"/>
      <c r="AS83" s="80"/>
      <c r="AT83" s="81"/>
      <c r="AU83" s="81"/>
      <c r="AV83" s="81"/>
      <c r="AW83" s="81"/>
      <c r="AX83" s="81"/>
      <c r="AY83" s="81"/>
      <c r="AZ83" s="82"/>
      <c r="BA83" s="77"/>
      <c r="BB83" s="78"/>
      <c r="BC83" s="78"/>
      <c r="BD83" s="78"/>
      <c r="BE83" s="78"/>
      <c r="BF83" s="78"/>
      <c r="BG83" s="79"/>
      <c r="BH83" s="68"/>
      <c r="BI83" s="69"/>
      <c r="BJ83" s="69"/>
      <c r="BK83" s="69"/>
      <c r="BL83" s="177"/>
      <c r="BM83" s="68"/>
      <c r="BN83" s="115"/>
      <c r="BO83" s="114"/>
      <c r="BP83" s="115"/>
      <c r="BQ83" s="114"/>
      <c r="BR83" s="115"/>
      <c r="BS83" s="114"/>
      <c r="BT83" s="115"/>
      <c r="BU83" s="114"/>
      <c r="BV83" s="115"/>
      <c r="BW83" s="114"/>
      <c r="BX83" s="177"/>
    </row>
    <row r="84" spans="1:224" ht="15.75" customHeight="1">
      <c r="A84" s="141"/>
      <c r="B84" s="142"/>
      <c r="C84" s="71"/>
      <c r="D84" s="72"/>
      <c r="E84" s="72"/>
      <c r="F84" s="72"/>
      <c r="G84" s="72"/>
      <c r="H84" s="72"/>
      <c r="I84" s="72"/>
      <c r="J84" s="72"/>
      <c r="K84" s="73"/>
      <c r="L84" s="160"/>
      <c r="M84" s="160"/>
      <c r="N84" s="160"/>
      <c r="O84" s="160"/>
      <c r="P84" s="160"/>
      <c r="Q84" s="160"/>
      <c r="R84" s="160"/>
      <c r="S84" s="160"/>
      <c r="T84" s="160"/>
      <c r="U84" s="160"/>
      <c r="V84" s="160"/>
      <c r="W84" s="160"/>
      <c r="X84" s="160"/>
      <c r="Y84" s="160"/>
      <c r="Z84" s="160"/>
      <c r="AA84" s="160"/>
      <c r="AB84" s="160"/>
      <c r="AC84" s="160"/>
      <c r="AD84" s="160"/>
      <c r="AE84" s="160"/>
      <c r="AF84" s="160"/>
      <c r="AG84" s="160"/>
      <c r="AH84" s="160"/>
      <c r="AI84" s="160"/>
      <c r="AJ84" s="160"/>
      <c r="AK84" s="160"/>
      <c r="AL84" s="161"/>
      <c r="AM84" s="77"/>
      <c r="AN84" s="78"/>
      <c r="AO84" s="78"/>
      <c r="AP84" s="78"/>
      <c r="AQ84" s="78"/>
      <c r="AR84" s="79"/>
      <c r="AS84" s="80"/>
      <c r="AT84" s="81"/>
      <c r="AU84" s="81"/>
      <c r="AV84" s="81"/>
      <c r="AW84" s="81"/>
      <c r="AX84" s="81"/>
      <c r="AY84" s="81"/>
      <c r="AZ84" s="82"/>
      <c r="BA84" s="77"/>
      <c r="BB84" s="78"/>
      <c r="BC84" s="78"/>
      <c r="BD84" s="78"/>
      <c r="BE84" s="78"/>
      <c r="BF84" s="78"/>
      <c r="BG84" s="79"/>
      <c r="BH84" s="83" t="s">
        <v>74</v>
      </c>
      <c r="BI84" s="84"/>
      <c r="BJ84" s="84"/>
      <c r="BK84" s="84"/>
      <c r="BL84" s="85"/>
      <c r="BM84" s="68"/>
      <c r="BN84" s="115"/>
      <c r="BO84" s="114"/>
      <c r="BP84" s="115"/>
      <c r="BQ84" s="114"/>
      <c r="BR84" s="115"/>
      <c r="BS84" s="114"/>
      <c r="BT84" s="115"/>
      <c r="BU84" s="114"/>
      <c r="BV84" s="115"/>
      <c r="BW84" s="114"/>
      <c r="BX84" s="177"/>
    </row>
    <row r="85" spans="1:224" ht="15.75" customHeight="1">
      <c r="A85" s="143"/>
      <c r="B85" s="144"/>
      <c r="C85" s="86">
        <f ca="1">IFERROR(IF(AND(C82="",H82=""),ROUNDDOWN((DATEDIF($CA80,TODAY(),"m")+1)/12,0),ROUNDDOWN((DATEDIF($CA80,$CA82,"m")+1)/12,0)),"")</f>
        <v>1</v>
      </c>
      <c r="D85" s="87"/>
      <c r="E85" s="87"/>
      <c r="F85" s="88" t="s">
        <v>19</v>
      </c>
      <c r="G85" s="88"/>
      <c r="H85" s="87">
        <v>6</v>
      </c>
      <c r="I85" s="87"/>
      <c r="J85" s="88" t="s">
        <v>75</v>
      </c>
      <c r="K85" s="89"/>
      <c r="L85" s="363"/>
      <c r="M85" s="363"/>
      <c r="N85" s="363"/>
      <c r="O85" s="363"/>
      <c r="P85" s="363"/>
      <c r="Q85" s="363"/>
      <c r="R85" s="363"/>
      <c r="S85" s="363"/>
      <c r="T85" s="363"/>
      <c r="U85" s="363"/>
      <c r="V85" s="363"/>
      <c r="W85" s="363"/>
      <c r="X85" s="363"/>
      <c r="Y85" s="363"/>
      <c r="Z85" s="363"/>
      <c r="AA85" s="363"/>
      <c r="AB85" s="363"/>
      <c r="AC85" s="363"/>
      <c r="AD85" s="363"/>
      <c r="AE85" s="363"/>
      <c r="AF85" s="363"/>
      <c r="AG85" s="363"/>
      <c r="AH85" s="363"/>
      <c r="AI85" s="363"/>
      <c r="AJ85" s="363"/>
      <c r="AK85" s="363"/>
      <c r="AL85" s="364"/>
      <c r="AM85" s="93"/>
      <c r="AN85" s="94"/>
      <c r="AO85" s="94"/>
      <c r="AP85" s="94"/>
      <c r="AQ85" s="94"/>
      <c r="AR85" s="95"/>
      <c r="AS85" s="96"/>
      <c r="AT85" s="97"/>
      <c r="AU85" s="97"/>
      <c r="AV85" s="97"/>
      <c r="AW85" s="97"/>
      <c r="AX85" s="97"/>
      <c r="AY85" s="97"/>
      <c r="AZ85" s="98"/>
      <c r="BA85" s="93"/>
      <c r="BB85" s="94"/>
      <c r="BC85" s="94"/>
      <c r="BD85" s="94"/>
      <c r="BE85" s="94"/>
      <c r="BF85" s="94"/>
      <c r="BG85" s="95"/>
      <c r="BH85" s="99" t="s">
        <v>76</v>
      </c>
      <c r="BI85" s="100"/>
      <c r="BJ85" s="100"/>
      <c r="BK85" s="100"/>
      <c r="BL85" s="101"/>
      <c r="BM85" s="169"/>
      <c r="BN85" s="117"/>
      <c r="BO85" s="116"/>
      <c r="BP85" s="117"/>
      <c r="BQ85" s="116"/>
      <c r="BR85" s="117"/>
      <c r="BS85" s="116"/>
      <c r="BT85" s="117"/>
      <c r="BU85" s="116"/>
      <c r="BV85" s="117"/>
      <c r="BW85" s="116"/>
      <c r="BX85" s="227"/>
      <c r="CA85" s="5"/>
    </row>
    <row r="86" spans="1:224" ht="15.75" customHeight="1">
      <c r="A86" s="139" t="s">
        <v>78</v>
      </c>
      <c r="B86" s="140"/>
      <c r="C86" s="145" t="s">
        <v>141</v>
      </c>
      <c r="D86" s="146"/>
      <c r="E86" s="146"/>
      <c r="F86" s="147" t="s">
        <v>19</v>
      </c>
      <c r="G86" s="147"/>
      <c r="H86" s="148" t="s">
        <v>78</v>
      </c>
      <c r="I86" s="148"/>
      <c r="J86" s="147" t="s">
        <v>55</v>
      </c>
      <c r="K86" s="149"/>
      <c r="L86" s="150" t="s">
        <v>142</v>
      </c>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4"/>
      <c r="AM86" s="151" t="s">
        <v>143</v>
      </c>
      <c r="AN86" s="152"/>
      <c r="AO86" s="152"/>
      <c r="AP86" s="152"/>
      <c r="AQ86" s="152"/>
      <c r="AR86" s="153"/>
      <c r="AS86" s="154" t="s">
        <v>114</v>
      </c>
      <c r="AT86" s="155"/>
      <c r="AU86" s="155"/>
      <c r="AV86" s="155"/>
      <c r="AW86" s="155"/>
      <c r="AX86" s="155"/>
      <c r="AY86" s="155"/>
      <c r="AZ86" s="156"/>
      <c r="BA86" s="185" t="s">
        <v>144</v>
      </c>
      <c r="BB86" s="186"/>
      <c r="BC86" s="186"/>
      <c r="BD86" s="186"/>
      <c r="BE86" s="186"/>
      <c r="BF86" s="186"/>
      <c r="BG86" s="187"/>
      <c r="BH86" s="174" t="s">
        <v>59</v>
      </c>
      <c r="BI86" s="175"/>
      <c r="BJ86" s="175"/>
      <c r="BK86" s="175"/>
      <c r="BL86" s="176"/>
      <c r="BM86" s="167" t="s">
        <v>60</v>
      </c>
      <c r="BN86" s="168"/>
      <c r="BO86" s="170" t="s">
        <v>62</v>
      </c>
      <c r="BP86" s="168"/>
      <c r="BQ86" s="170" t="s">
        <v>62</v>
      </c>
      <c r="BR86" s="168"/>
      <c r="BS86" s="170" t="s">
        <v>62</v>
      </c>
      <c r="BT86" s="168"/>
      <c r="BU86" s="170" t="s">
        <v>62</v>
      </c>
      <c r="BV86" s="168"/>
      <c r="BW86" s="170"/>
      <c r="BX86" s="226"/>
      <c r="CA86" s="5">
        <f>DATEVALUE(C86&amp;F86&amp;H86&amp;J86)</f>
        <v>39783</v>
      </c>
      <c r="HI86" s="1"/>
      <c r="HJ86" s="1"/>
      <c r="HK86" s="1"/>
      <c r="HL86" s="1"/>
      <c r="HM86" s="1"/>
      <c r="HN86" s="1"/>
      <c r="HO86" s="1"/>
      <c r="HP86" s="1"/>
    </row>
    <row r="87" spans="1:224" ht="15.75" customHeight="1">
      <c r="A87" s="141"/>
      <c r="B87" s="142"/>
      <c r="C87" s="121" t="s">
        <v>63</v>
      </c>
      <c r="D87" s="122"/>
      <c r="E87" s="122"/>
      <c r="F87" s="122"/>
      <c r="G87" s="122"/>
      <c r="H87" s="122"/>
      <c r="I87" s="122"/>
      <c r="J87" s="122"/>
      <c r="K87" s="123"/>
      <c r="L87" s="157" t="s">
        <v>145</v>
      </c>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9"/>
      <c r="AM87" s="77" t="s">
        <v>146</v>
      </c>
      <c r="AN87" s="78"/>
      <c r="AO87" s="78"/>
      <c r="AP87" s="78"/>
      <c r="AQ87" s="78"/>
      <c r="AR87" s="79"/>
      <c r="AS87" s="80"/>
      <c r="AT87" s="81"/>
      <c r="AU87" s="81"/>
      <c r="AV87" s="81"/>
      <c r="AW87" s="81"/>
      <c r="AX87" s="81"/>
      <c r="AY87" s="81"/>
      <c r="AZ87" s="82"/>
      <c r="BA87" s="77" t="s">
        <v>136</v>
      </c>
      <c r="BB87" s="78"/>
      <c r="BC87" s="78"/>
      <c r="BD87" s="78"/>
      <c r="BE87" s="78"/>
      <c r="BF87" s="78"/>
      <c r="BG87" s="79"/>
      <c r="BH87" s="124" t="s">
        <v>84</v>
      </c>
      <c r="BI87" s="125"/>
      <c r="BJ87" s="125"/>
      <c r="BK87" s="125"/>
      <c r="BL87" s="126"/>
      <c r="BM87" s="68"/>
      <c r="BN87" s="115"/>
      <c r="BO87" s="114"/>
      <c r="BP87" s="115"/>
      <c r="BQ87" s="114"/>
      <c r="BR87" s="115"/>
      <c r="BS87" s="114"/>
      <c r="BT87" s="115"/>
      <c r="BU87" s="114"/>
      <c r="BV87" s="115"/>
      <c r="BW87" s="114"/>
      <c r="BX87" s="177"/>
      <c r="HI87" s="1"/>
      <c r="HJ87" s="1"/>
      <c r="HK87" s="1"/>
      <c r="HL87" s="1"/>
      <c r="HM87" s="1"/>
      <c r="HN87" s="1"/>
      <c r="HO87" s="1"/>
      <c r="HP87" s="1"/>
    </row>
    <row r="88" spans="1:224" ht="15.75" customHeight="1">
      <c r="A88" s="141"/>
      <c r="B88" s="142"/>
      <c r="C88" s="127" t="s">
        <v>139</v>
      </c>
      <c r="D88" s="128"/>
      <c r="E88" s="128"/>
      <c r="F88" s="129" t="s">
        <v>19</v>
      </c>
      <c r="G88" s="129"/>
      <c r="H88" s="130" t="s">
        <v>78</v>
      </c>
      <c r="I88" s="130"/>
      <c r="J88" s="129" t="s">
        <v>55</v>
      </c>
      <c r="K88" s="131"/>
      <c r="L88" s="160"/>
      <c r="M88" s="160"/>
      <c r="N88" s="160"/>
      <c r="O88" s="160"/>
      <c r="P88" s="160"/>
      <c r="Q88" s="160"/>
      <c r="R88" s="160"/>
      <c r="S88" s="160"/>
      <c r="T88" s="160"/>
      <c r="U88" s="160"/>
      <c r="V88" s="160"/>
      <c r="W88" s="160"/>
      <c r="X88" s="160"/>
      <c r="Y88" s="160"/>
      <c r="Z88" s="160"/>
      <c r="AA88" s="160"/>
      <c r="AB88" s="160"/>
      <c r="AC88" s="160"/>
      <c r="AD88" s="160"/>
      <c r="AE88" s="160"/>
      <c r="AF88" s="160"/>
      <c r="AG88" s="160"/>
      <c r="AH88" s="160"/>
      <c r="AI88" s="160"/>
      <c r="AJ88" s="160"/>
      <c r="AK88" s="160"/>
      <c r="AL88" s="161"/>
      <c r="AM88" s="77" t="s">
        <v>147</v>
      </c>
      <c r="AN88" s="78"/>
      <c r="AO88" s="78"/>
      <c r="AP88" s="78"/>
      <c r="AQ88" s="78"/>
      <c r="AR88" s="79"/>
      <c r="AS88" s="80"/>
      <c r="AT88" s="81"/>
      <c r="AU88" s="81"/>
      <c r="AV88" s="81"/>
      <c r="AW88" s="81"/>
      <c r="AX88" s="81"/>
      <c r="AY88" s="81"/>
      <c r="AZ88" s="82"/>
      <c r="BA88" s="77"/>
      <c r="BB88" s="78"/>
      <c r="BC88" s="78"/>
      <c r="BD88" s="78"/>
      <c r="BE88" s="78"/>
      <c r="BF88" s="78"/>
      <c r="BG88" s="79"/>
      <c r="BH88" s="171"/>
      <c r="BI88" s="172"/>
      <c r="BJ88" s="172"/>
      <c r="BK88" s="172"/>
      <c r="BL88" s="173"/>
      <c r="BM88" s="68"/>
      <c r="BN88" s="115"/>
      <c r="BO88" s="114"/>
      <c r="BP88" s="115"/>
      <c r="BQ88" s="114"/>
      <c r="BR88" s="115"/>
      <c r="BS88" s="114"/>
      <c r="BT88" s="115"/>
      <c r="BU88" s="114"/>
      <c r="BV88" s="115"/>
      <c r="BW88" s="114"/>
      <c r="BX88" s="177"/>
      <c r="CA88" s="5">
        <f>DATEVALUE(C88&amp;F88&amp;H88&amp;J88)</f>
        <v>40513</v>
      </c>
      <c r="HI88" s="1"/>
      <c r="HJ88" s="1"/>
      <c r="HK88" s="1"/>
      <c r="HL88" s="1"/>
      <c r="HM88" s="1"/>
      <c r="HN88" s="1"/>
      <c r="HO88" s="1"/>
      <c r="HP88" s="1"/>
    </row>
    <row r="89" spans="1:224" ht="15.75" customHeight="1">
      <c r="A89" s="141"/>
      <c r="B89" s="142"/>
      <c r="C89" s="136"/>
      <c r="D89" s="137"/>
      <c r="E89" s="137"/>
      <c r="F89" s="137"/>
      <c r="G89" s="137"/>
      <c r="H89" s="137"/>
      <c r="I89" s="137"/>
      <c r="J89" s="137"/>
      <c r="K89" s="138"/>
      <c r="L89" s="160"/>
      <c r="M89" s="160"/>
      <c r="N89" s="160"/>
      <c r="O89" s="160"/>
      <c r="P89" s="160"/>
      <c r="Q89" s="160"/>
      <c r="R89" s="160"/>
      <c r="S89" s="160"/>
      <c r="T89" s="160"/>
      <c r="U89" s="160"/>
      <c r="V89" s="160"/>
      <c r="W89" s="160"/>
      <c r="X89" s="160"/>
      <c r="Y89" s="160"/>
      <c r="Z89" s="160"/>
      <c r="AA89" s="160"/>
      <c r="AB89" s="160"/>
      <c r="AC89" s="160"/>
      <c r="AD89" s="160"/>
      <c r="AE89" s="160"/>
      <c r="AF89" s="160"/>
      <c r="AG89" s="160"/>
      <c r="AH89" s="160"/>
      <c r="AI89" s="160"/>
      <c r="AJ89" s="160"/>
      <c r="AK89" s="160"/>
      <c r="AL89" s="161"/>
      <c r="AM89" s="77"/>
      <c r="AN89" s="78"/>
      <c r="AO89" s="78"/>
      <c r="AP89" s="78"/>
      <c r="AQ89" s="78"/>
      <c r="AR89" s="79"/>
      <c r="AS89" s="80"/>
      <c r="AT89" s="81"/>
      <c r="AU89" s="81"/>
      <c r="AV89" s="81"/>
      <c r="AW89" s="81"/>
      <c r="AX89" s="81"/>
      <c r="AY89" s="81"/>
      <c r="AZ89" s="82"/>
      <c r="BA89" s="77"/>
      <c r="BB89" s="78"/>
      <c r="BC89" s="78"/>
      <c r="BD89" s="78"/>
      <c r="BE89" s="78"/>
      <c r="BF89" s="78"/>
      <c r="BG89" s="79"/>
      <c r="BH89" s="68"/>
      <c r="BI89" s="69"/>
      <c r="BJ89" s="69"/>
      <c r="BK89" s="69"/>
      <c r="BL89" s="177"/>
      <c r="BM89" s="68"/>
      <c r="BN89" s="115"/>
      <c r="BO89" s="114"/>
      <c r="BP89" s="115"/>
      <c r="BQ89" s="114"/>
      <c r="BR89" s="115"/>
      <c r="BS89" s="114"/>
      <c r="BT89" s="115"/>
      <c r="BU89" s="114"/>
      <c r="BV89" s="115"/>
      <c r="BW89" s="114"/>
      <c r="BX89" s="177"/>
    </row>
    <row r="90" spans="1:224" ht="15.75" customHeight="1">
      <c r="A90" s="141"/>
      <c r="B90" s="142"/>
      <c r="C90" s="71"/>
      <c r="D90" s="72"/>
      <c r="E90" s="72"/>
      <c r="F90" s="72"/>
      <c r="G90" s="72"/>
      <c r="H90" s="72"/>
      <c r="I90" s="72"/>
      <c r="J90" s="72"/>
      <c r="K90" s="73"/>
      <c r="L90" s="160"/>
      <c r="M90" s="160"/>
      <c r="N90" s="160"/>
      <c r="O90" s="160"/>
      <c r="P90" s="160"/>
      <c r="Q90" s="160"/>
      <c r="R90" s="160"/>
      <c r="S90" s="160"/>
      <c r="T90" s="160"/>
      <c r="U90" s="160"/>
      <c r="V90" s="160"/>
      <c r="W90" s="160"/>
      <c r="X90" s="160"/>
      <c r="Y90" s="160"/>
      <c r="Z90" s="160"/>
      <c r="AA90" s="160"/>
      <c r="AB90" s="160"/>
      <c r="AC90" s="160"/>
      <c r="AD90" s="160"/>
      <c r="AE90" s="160"/>
      <c r="AF90" s="160"/>
      <c r="AG90" s="160"/>
      <c r="AH90" s="160"/>
      <c r="AI90" s="160"/>
      <c r="AJ90" s="160"/>
      <c r="AK90" s="160"/>
      <c r="AL90" s="161"/>
      <c r="AM90" s="77"/>
      <c r="AN90" s="78"/>
      <c r="AO90" s="78"/>
      <c r="AP90" s="78"/>
      <c r="AQ90" s="78"/>
      <c r="AR90" s="79"/>
      <c r="AS90" s="80"/>
      <c r="AT90" s="81"/>
      <c r="AU90" s="81"/>
      <c r="AV90" s="81"/>
      <c r="AW90" s="81"/>
      <c r="AX90" s="81"/>
      <c r="AY90" s="81"/>
      <c r="AZ90" s="82"/>
      <c r="BA90" s="77"/>
      <c r="BB90" s="78"/>
      <c r="BC90" s="78"/>
      <c r="BD90" s="78"/>
      <c r="BE90" s="78"/>
      <c r="BF90" s="78"/>
      <c r="BG90" s="79"/>
      <c r="BH90" s="83" t="s">
        <v>74</v>
      </c>
      <c r="BI90" s="84"/>
      <c r="BJ90" s="84"/>
      <c r="BK90" s="84"/>
      <c r="BL90" s="85"/>
      <c r="BM90" s="68"/>
      <c r="BN90" s="115"/>
      <c r="BO90" s="114"/>
      <c r="BP90" s="115"/>
      <c r="BQ90" s="114"/>
      <c r="BR90" s="115"/>
      <c r="BS90" s="114"/>
      <c r="BT90" s="115"/>
      <c r="BU90" s="114"/>
      <c r="BV90" s="115"/>
      <c r="BW90" s="114"/>
      <c r="BX90" s="177"/>
    </row>
    <row r="91" spans="1:224" ht="15.75" customHeight="1">
      <c r="A91" s="143"/>
      <c r="B91" s="144"/>
      <c r="C91" s="86">
        <f ca="1">IFERROR(IF(AND(C88="",H88=""),ROUNDDOWN((DATEDIF($CA86,TODAY(),"m")+1)/12,0),ROUNDDOWN((DATEDIF($CA86,$CA88,"m")+1)/12,0)),"")</f>
        <v>2</v>
      </c>
      <c r="D91" s="87"/>
      <c r="E91" s="87"/>
      <c r="F91" s="88" t="s">
        <v>19</v>
      </c>
      <c r="G91" s="88"/>
      <c r="H91" s="87">
        <f ca="1">IFERROR(IF(AND(C88="",H88=""),DATEDIF($CA86,TODAY(),"m")-C91*12+1,DATEDIF($CA86,$CA88,"m")-C91*12+1),"")</f>
        <v>1</v>
      </c>
      <c r="I91" s="87"/>
      <c r="J91" s="88" t="s">
        <v>75</v>
      </c>
      <c r="K91" s="89"/>
      <c r="L91" s="363"/>
      <c r="M91" s="363"/>
      <c r="N91" s="363"/>
      <c r="O91" s="363"/>
      <c r="P91" s="363"/>
      <c r="Q91" s="363"/>
      <c r="R91" s="363"/>
      <c r="S91" s="363"/>
      <c r="T91" s="363"/>
      <c r="U91" s="363"/>
      <c r="V91" s="363"/>
      <c r="W91" s="363"/>
      <c r="X91" s="363"/>
      <c r="Y91" s="363"/>
      <c r="Z91" s="363"/>
      <c r="AA91" s="363"/>
      <c r="AB91" s="363"/>
      <c r="AC91" s="363"/>
      <c r="AD91" s="363"/>
      <c r="AE91" s="363"/>
      <c r="AF91" s="363"/>
      <c r="AG91" s="363"/>
      <c r="AH91" s="363"/>
      <c r="AI91" s="363"/>
      <c r="AJ91" s="363"/>
      <c r="AK91" s="363"/>
      <c r="AL91" s="364"/>
      <c r="AM91" s="93"/>
      <c r="AN91" s="94"/>
      <c r="AO91" s="94"/>
      <c r="AP91" s="94"/>
      <c r="AQ91" s="94"/>
      <c r="AR91" s="95"/>
      <c r="AS91" s="96"/>
      <c r="AT91" s="97"/>
      <c r="AU91" s="97"/>
      <c r="AV91" s="97"/>
      <c r="AW91" s="97"/>
      <c r="AX91" s="97"/>
      <c r="AY91" s="97"/>
      <c r="AZ91" s="98"/>
      <c r="BA91" s="93"/>
      <c r="BB91" s="94"/>
      <c r="BC91" s="94"/>
      <c r="BD91" s="94"/>
      <c r="BE91" s="94"/>
      <c r="BF91" s="94"/>
      <c r="BG91" s="95"/>
      <c r="BH91" s="99" t="s">
        <v>76</v>
      </c>
      <c r="BI91" s="100"/>
      <c r="BJ91" s="100"/>
      <c r="BK91" s="100"/>
      <c r="BL91" s="101"/>
      <c r="BM91" s="169"/>
      <c r="BN91" s="117"/>
      <c r="BO91" s="116"/>
      <c r="BP91" s="117"/>
      <c r="BQ91" s="116"/>
      <c r="BR91" s="117"/>
      <c r="BS91" s="116"/>
      <c r="BT91" s="117"/>
      <c r="BU91" s="116"/>
      <c r="BV91" s="117"/>
      <c r="BW91" s="116"/>
      <c r="BX91" s="227"/>
      <c r="CA91" s="5"/>
    </row>
    <row r="92" spans="1:224" ht="15.75" customHeight="1">
      <c r="A92" s="139" t="s">
        <v>481</v>
      </c>
      <c r="B92" s="140"/>
      <c r="C92" s="145" t="s">
        <v>149</v>
      </c>
      <c r="D92" s="146"/>
      <c r="E92" s="146"/>
      <c r="F92" s="147" t="s">
        <v>19</v>
      </c>
      <c r="G92" s="147"/>
      <c r="H92" s="148" t="s">
        <v>148</v>
      </c>
      <c r="I92" s="148"/>
      <c r="J92" s="147" t="s">
        <v>55</v>
      </c>
      <c r="K92" s="149"/>
      <c r="L92" s="150" t="s">
        <v>150</v>
      </c>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4"/>
      <c r="AM92" s="151" t="s">
        <v>128</v>
      </c>
      <c r="AN92" s="152"/>
      <c r="AO92" s="152"/>
      <c r="AP92" s="152"/>
      <c r="AQ92" s="152"/>
      <c r="AR92" s="153"/>
      <c r="AS92" s="154" t="s">
        <v>151</v>
      </c>
      <c r="AT92" s="155"/>
      <c r="AU92" s="155"/>
      <c r="AV92" s="155"/>
      <c r="AW92" s="155"/>
      <c r="AX92" s="155"/>
      <c r="AY92" s="155"/>
      <c r="AZ92" s="156"/>
      <c r="BA92" s="185" t="s">
        <v>152</v>
      </c>
      <c r="BB92" s="186"/>
      <c r="BC92" s="186"/>
      <c r="BD92" s="186"/>
      <c r="BE92" s="186"/>
      <c r="BF92" s="186"/>
      <c r="BG92" s="187"/>
      <c r="BH92" s="174" t="s">
        <v>59</v>
      </c>
      <c r="BI92" s="175"/>
      <c r="BJ92" s="175"/>
      <c r="BK92" s="175"/>
      <c r="BL92" s="176"/>
      <c r="BM92" s="167" t="s">
        <v>60</v>
      </c>
      <c r="BN92" s="168"/>
      <c r="BO92" s="170" t="s">
        <v>62</v>
      </c>
      <c r="BP92" s="168"/>
      <c r="BQ92" s="170" t="s">
        <v>62</v>
      </c>
      <c r="BR92" s="168"/>
      <c r="BS92" s="170" t="s">
        <v>62</v>
      </c>
      <c r="BT92" s="168"/>
      <c r="BU92" s="170" t="s">
        <v>62</v>
      </c>
      <c r="BV92" s="168"/>
      <c r="BW92" s="170"/>
      <c r="BX92" s="226"/>
      <c r="CA92" s="5">
        <f>DATEVALUE(C92&amp;F92&amp;H92&amp;J92)</f>
        <v>39022</v>
      </c>
      <c r="HI92" s="1"/>
      <c r="HJ92" s="1"/>
      <c r="HK92" s="1"/>
      <c r="HL92" s="1"/>
      <c r="HM92" s="1"/>
      <c r="HN92" s="1"/>
      <c r="HO92" s="1"/>
      <c r="HP92" s="1"/>
    </row>
    <row r="93" spans="1:224" ht="15.75" customHeight="1">
      <c r="A93" s="141"/>
      <c r="B93" s="142"/>
      <c r="C93" s="121" t="s">
        <v>63</v>
      </c>
      <c r="D93" s="122"/>
      <c r="E93" s="122"/>
      <c r="F93" s="122"/>
      <c r="G93" s="122"/>
      <c r="H93" s="122"/>
      <c r="I93" s="122"/>
      <c r="J93" s="122"/>
      <c r="K93" s="123"/>
      <c r="L93" s="157" t="s">
        <v>153</v>
      </c>
      <c r="M93" s="158"/>
      <c r="N93" s="158"/>
      <c r="O93" s="158"/>
      <c r="P93" s="158"/>
      <c r="Q93" s="158"/>
      <c r="R93" s="158"/>
      <c r="S93" s="158"/>
      <c r="T93" s="158"/>
      <c r="U93" s="158"/>
      <c r="V93" s="158"/>
      <c r="W93" s="158"/>
      <c r="X93" s="158"/>
      <c r="Y93" s="158"/>
      <c r="Z93" s="158"/>
      <c r="AA93" s="158"/>
      <c r="AB93" s="158"/>
      <c r="AC93" s="158"/>
      <c r="AD93" s="158"/>
      <c r="AE93" s="158"/>
      <c r="AF93" s="158"/>
      <c r="AG93" s="158"/>
      <c r="AH93" s="158"/>
      <c r="AI93" s="158"/>
      <c r="AJ93" s="158"/>
      <c r="AK93" s="158"/>
      <c r="AL93" s="159"/>
      <c r="AM93" s="77" t="s">
        <v>154</v>
      </c>
      <c r="AN93" s="78"/>
      <c r="AO93" s="78"/>
      <c r="AP93" s="78"/>
      <c r="AQ93" s="78"/>
      <c r="AR93" s="79"/>
      <c r="AS93" s="80"/>
      <c r="AT93" s="81"/>
      <c r="AU93" s="81"/>
      <c r="AV93" s="81"/>
      <c r="AW93" s="81"/>
      <c r="AX93" s="81"/>
      <c r="AY93" s="81"/>
      <c r="AZ93" s="82"/>
      <c r="BA93" s="77" t="s">
        <v>155</v>
      </c>
      <c r="BB93" s="78"/>
      <c r="BC93" s="78"/>
      <c r="BD93" s="78"/>
      <c r="BE93" s="78"/>
      <c r="BF93" s="78"/>
      <c r="BG93" s="79"/>
      <c r="BH93" s="124" t="s">
        <v>156</v>
      </c>
      <c r="BI93" s="125"/>
      <c r="BJ93" s="125"/>
      <c r="BK93" s="125"/>
      <c r="BL93" s="126"/>
      <c r="BM93" s="68"/>
      <c r="BN93" s="115"/>
      <c r="BO93" s="114"/>
      <c r="BP93" s="115"/>
      <c r="BQ93" s="114"/>
      <c r="BR93" s="115"/>
      <c r="BS93" s="114"/>
      <c r="BT93" s="115"/>
      <c r="BU93" s="114"/>
      <c r="BV93" s="115"/>
      <c r="BW93" s="114"/>
      <c r="BX93" s="177"/>
      <c r="HI93" s="1"/>
      <c r="HJ93" s="1"/>
      <c r="HK93" s="1"/>
      <c r="HL93" s="1"/>
      <c r="HM93" s="1"/>
      <c r="HN93" s="1"/>
      <c r="HO93" s="1"/>
      <c r="HP93" s="1"/>
    </row>
    <row r="94" spans="1:224" ht="15.75" customHeight="1">
      <c r="A94" s="141"/>
      <c r="B94" s="142"/>
      <c r="C94" s="127" t="s">
        <v>141</v>
      </c>
      <c r="D94" s="128"/>
      <c r="E94" s="128"/>
      <c r="F94" s="129" t="s">
        <v>19</v>
      </c>
      <c r="G94" s="129"/>
      <c r="H94" s="130" t="s">
        <v>54</v>
      </c>
      <c r="I94" s="130"/>
      <c r="J94" s="129" t="s">
        <v>55</v>
      </c>
      <c r="K94" s="131"/>
      <c r="L94" s="160"/>
      <c r="M94" s="160"/>
      <c r="N94" s="160"/>
      <c r="O94" s="160"/>
      <c r="P94" s="160"/>
      <c r="Q94" s="160"/>
      <c r="R94" s="160"/>
      <c r="S94" s="160"/>
      <c r="T94" s="160"/>
      <c r="U94" s="160"/>
      <c r="V94" s="160"/>
      <c r="W94" s="160"/>
      <c r="X94" s="160"/>
      <c r="Y94" s="160"/>
      <c r="Z94" s="160"/>
      <c r="AA94" s="160"/>
      <c r="AB94" s="160"/>
      <c r="AC94" s="160"/>
      <c r="AD94" s="160"/>
      <c r="AE94" s="160"/>
      <c r="AF94" s="160"/>
      <c r="AG94" s="160"/>
      <c r="AH94" s="160"/>
      <c r="AI94" s="160"/>
      <c r="AJ94" s="160"/>
      <c r="AK94" s="160"/>
      <c r="AL94" s="161"/>
      <c r="AM94" s="77" t="s">
        <v>157</v>
      </c>
      <c r="AN94" s="78"/>
      <c r="AO94" s="78"/>
      <c r="AP94" s="78"/>
      <c r="AQ94" s="78"/>
      <c r="AR94" s="79"/>
      <c r="AS94" s="80"/>
      <c r="AT94" s="81"/>
      <c r="AU94" s="81"/>
      <c r="AV94" s="81"/>
      <c r="AW94" s="81"/>
      <c r="AX94" s="81"/>
      <c r="AY94" s="81"/>
      <c r="AZ94" s="82"/>
      <c r="BA94" s="77" t="s">
        <v>118</v>
      </c>
      <c r="BB94" s="78"/>
      <c r="BC94" s="78"/>
      <c r="BD94" s="78"/>
      <c r="BE94" s="78"/>
      <c r="BF94" s="78"/>
      <c r="BG94" s="79"/>
      <c r="BH94" s="171"/>
      <c r="BI94" s="172"/>
      <c r="BJ94" s="172"/>
      <c r="BK94" s="172"/>
      <c r="BL94" s="173"/>
      <c r="BM94" s="68"/>
      <c r="BN94" s="115"/>
      <c r="BO94" s="114"/>
      <c r="BP94" s="115"/>
      <c r="BQ94" s="114"/>
      <c r="BR94" s="115"/>
      <c r="BS94" s="114"/>
      <c r="BT94" s="115"/>
      <c r="BU94" s="114"/>
      <c r="BV94" s="115"/>
      <c r="BW94" s="114"/>
      <c r="BX94" s="177"/>
      <c r="CA94" s="5">
        <f>DATEVALUE(C94&amp;F94&amp;H94&amp;J94)</f>
        <v>39692</v>
      </c>
      <c r="HI94" s="1"/>
      <c r="HJ94" s="1"/>
      <c r="HK94" s="1"/>
      <c r="HL94" s="1"/>
      <c r="HM94" s="1"/>
      <c r="HN94" s="1"/>
      <c r="HO94" s="1"/>
      <c r="HP94" s="1"/>
    </row>
    <row r="95" spans="1:224" ht="15.75" customHeight="1">
      <c r="A95" s="141"/>
      <c r="B95" s="142"/>
      <c r="C95" s="136"/>
      <c r="D95" s="137"/>
      <c r="E95" s="137"/>
      <c r="F95" s="137"/>
      <c r="G95" s="137"/>
      <c r="H95" s="137"/>
      <c r="I95" s="137"/>
      <c r="J95" s="137"/>
      <c r="K95" s="138"/>
      <c r="L95" s="160"/>
      <c r="M95" s="160"/>
      <c r="N95" s="160"/>
      <c r="O95" s="160"/>
      <c r="P95" s="160"/>
      <c r="Q95" s="160"/>
      <c r="R95" s="160"/>
      <c r="S95" s="160"/>
      <c r="T95" s="160"/>
      <c r="U95" s="160"/>
      <c r="V95" s="160"/>
      <c r="W95" s="160"/>
      <c r="X95" s="160"/>
      <c r="Y95" s="160"/>
      <c r="Z95" s="160"/>
      <c r="AA95" s="160"/>
      <c r="AB95" s="160"/>
      <c r="AC95" s="160"/>
      <c r="AD95" s="160"/>
      <c r="AE95" s="160"/>
      <c r="AF95" s="160"/>
      <c r="AG95" s="160"/>
      <c r="AH95" s="160"/>
      <c r="AI95" s="160"/>
      <c r="AJ95" s="160"/>
      <c r="AK95" s="160"/>
      <c r="AL95" s="161"/>
      <c r="AM95" s="77"/>
      <c r="AN95" s="78"/>
      <c r="AO95" s="78"/>
      <c r="AP95" s="78"/>
      <c r="AQ95" s="78"/>
      <c r="AR95" s="79"/>
      <c r="AS95" s="80"/>
      <c r="AT95" s="81"/>
      <c r="AU95" s="81"/>
      <c r="AV95" s="81"/>
      <c r="AW95" s="81"/>
      <c r="AX95" s="81"/>
      <c r="AY95" s="81"/>
      <c r="AZ95" s="82"/>
      <c r="BA95" s="77" t="s">
        <v>158</v>
      </c>
      <c r="BB95" s="78"/>
      <c r="BC95" s="78"/>
      <c r="BD95" s="78"/>
      <c r="BE95" s="78"/>
      <c r="BF95" s="78"/>
      <c r="BG95" s="79"/>
      <c r="BH95" s="68"/>
      <c r="BI95" s="69"/>
      <c r="BJ95" s="69"/>
      <c r="BK95" s="69"/>
      <c r="BL95" s="177"/>
      <c r="BM95" s="68"/>
      <c r="BN95" s="115"/>
      <c r="BO95" s="114"/>
      <c r="BP95" s="115"/>
      <c r="BQ95" s="114"/>
      <c r="BR95" s="115"/>
      <c r="BS95" s="114"/>
      <c r="BT95" s="115"/>
      <c r="BU95" s="114"/>
      <c r="BV95" s="115"/>
      <c r="BW95" s="114"/>
      <c r="BX95" s="177"/>
    </row>
    <row r="96" spans="1:224" ht="15.75" customHeight="1">
      <c r="A96" s="141"/>
      <c r="B96" s="142"/>
      <c r="C96" s="71"/>
      <c r="D96" s="72"/>
      <c r="E96" s="72"/>
      <c r="F96" s="72"/>
      <c r="G96" s="72"/>
      <c r="H96" s="72"/>
      <c r="I96" s="72"/>
      <c r="J96" s="72"/>
      <c r="K96" s="73"/>
      <c r="L96" s="160"/>
      <c r="M96" s="160"/>
      <c r="N96" s="160"/>
      <c r="O96" s="160"/>
      <c r="P96" s="160"/>
      <c r="Q96" s="160"/>
      <c r="R96" s="160"/>
      <c r="S96" s="160"/>
      <c r="T96" s="160"/>
      <c r="U96" s="160"/>
      <c r="V96" s="160"/>
      <c r="W96" s="160"/>
      <c r="X96" s="160"/>
      <c r="Y96" s="160"/>
      <c r="Z96" s="160"/>
      <c r="AA96" s="160"/>
      <c r="AB96" s="160"/>
      <c r="AC96" s="160"/>
      <c r="AD96" s="160"/>
      <c r="AE96" s="160"/>
      <c r="AF96" s="160"/>
      <c r="AG96" s="160"/>
      <c r="AH96" s="160"/>
      <c r="AI96" s="160"/>
      <c r="AJ96" s="160"/>
      <c r="AK96" s="160"/>
      <c r="AL96" s="161"/>
      <c r="AM96" s="77"/>
      <c r="AN96" s="78"/>
      <c r="AO96" s="78"/>
      <c r="AP96" s="78"/>
      <c r="AQ96" s="78"/>
      <c r="AR96" s="79"/>
      <c r="AS96" s="80"/>
      <c r="AT96" s="81"/>
      <c r="AU96" s="81"/>
      <c r="AV96" s="81"/>
      <c r="AW96" s="81"/>
      <c r="AX96" s="81"/>
      <c r="AY96" s="81"/>
      <c r="AZ96" s="82"/>
      <c r="BA96" s="77" t="s">
        <v>159</v>
      </c>
      <c r="BB96" s="78"/>
      <c r="BC96" s="78"/>
      <c r="BD96" s="78"/>
      <c r="BE96" s="78"/>
      <c r="BF96" s="78"/>
      <c r="BG96" s="79"/>
      <c r="BH96" s="83" t="s">
        <v>74</v>
      </c>
      <c r="BI96" s="84"/>
      <c r="BJ96" s="84"/>
      <c r="BK96" s="84"/>
      <c r="BL96" s="85"/>
      <c r="BM96" s="68"/>
      <c r="BN96" s="115"/>
      <c r="BO96" s="114"/>
      <c r="BP96" s="115"/>
      <c r="BQ96" s="114"/>
      <c r="BR96" s="115"/>
      <c r="BS96" s="114"/>
      <c r="BT96" s="115"/>
      <c r="BU96" s="114"/>
      <c r="BV96" s="115"/>
      <c r="BW96" s="114"/>
      <c r="BX96" s="177"/>
    </row>
    <row r="97" spans="1:224" ht="15.75" customHeight="1">
      <c r="A97" s="143"/>
      <c r="B97" s="144"/>
      <c r="C97" s="86">
        <f ca="1">IFERROR(IF(AND(C94="",H94=""),ROUNDDOWN((DATEDIF($CA92,TODAY(),"m")+1)/12,0),ROUNDDOWN((DATEDIF($CA92,$CA94,"m")+1)/12,0)),"")</f>
        <v>1</v>
      </c>
      <c r="D97" s="87"/>
      <c r="E97" s="87"/>
      <c r="F97" s="88" t="s">
        <v>19</v>
      </c>
      <c r="G97" s="88"/>
      <c r="H97" s="87">
        <f ca="1">IFERROR(IF(AND(C94="",H94=""),DATEDIF($CA92,TODAY(),"m")-C97*12+1,DATEDIF($CA92,$CA94,"m")-C97*12+1),"")</f>
        <v>11</v>
      </c>
      <c r="I97" s="87"/>
      <c r="J97" s="88" t="s">
        <v>75</v>
      </c>
      <c r="K97" s="89"/>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4"/>
      <c r="AM97" s="93"/>
      <c r="AN97" s="94"/>
      <c r="AO97" s="94"/>
      <c r="AP97" s="94"/>
      <c r="AQ97" s="94"/>
      <c r="AR97" s="95"/>
      <c r="AS97" s="96"/>
      <c r="AT97" s="97"/>
      <c r="AU97" s="97"/>
      <c r="AV97" s="97"/>
      <c r="AW97" s="97"/>
      <c r="AX97" s="97"/>
      <c r="AY97" s="97"/>
      <c r="AZ97" s="98"/>
      <c r="BA97" s="93"/>
      <c r="BB97" s="94"/>
      <c r="BC97" s="94"/>
      <c r="BD97" s="94"/>
      <c r="BE97" s="94"/>
      <c r="BF97" s="94"/>
      <c r="BG97" s="95"/>
      <c r="BH97" s="99" t="s">
        <v>134</v>
      </c>
      <c r="BI97" s="100"/>
      <c r="BJ97" s="100"/>
      <c r="BK97" s="100"/>
      <c r="BL97" s="101"/>
      <c r="BM97" s="169"/>
      <c r="BN97" s="117"/>
      <c r="BO97" s="116"/>
      <c r="BP97" s="117"/>
      <c r="BQ97" s="116"/>
      <c r="BR97" s="117"/>
      <c r="BS97" s="116"/>
      <c r="BT97" s="117"/>
      <c r="BU97" s="116"/>
      <c r="BV97" s="117"/>
      <c r="BW97" s="116"/>
      <c r="BX97" s="227"/>
      <c r="CA97" s="5"/>
    </row>
    <row r="98" spans="1:224" ht="15.75" customHeight="1">
      <c r="A98" s="139" t="s">
        <v>498</v>
      </c>
      <c r="B98" s="140"/>
      <c r="C98" s="145" t="s">
        <v>160</v>
      </c>
      <c r="D98" s="146"/>
      <c r="E98" s="146"/>
      <c r="F98" s="147" t="s">
        <v>19</v>
      </c>
      <c r="G98" s="147"/>
      <c r="H98" s="148" t="s">
        <v>161</v>
      </c>
      <c r="I98" s="148"/>
      <c r="J98" s="147" t="s">
        <v>55</v>
      </c>
      <c r="K98" s="149"/>
      <c r="L98" s="150" t="s">
        <v>508</v>
      </c>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4"/>
      <c r="AM98" s="151" t="s">
        <v>122</v>
      </c>
      <c r="AN98" s="152"/>
      <c r="AO98" s="152"/>
      <c r="AP98" s="152"/>
      <c r="AQ98" s="152"/>
      <c r="AR98" s="153"/>
      <c r="AS98" s="154" t="s">
        <v>151</v>
      </c>
      <c r="AT98" s="155"/>
      <c r="AU98" s="155"/>
      <c r="AV98" s="155"/>
      <c r="AW98" s="155"/>
      <c r="AX98" s="155"/>
      <c r="AY98" s="155"/>
      <c r="AZ98" s="156"/>
      <c r="BA98" s="185" t="s">
        <v>162</v>
      </c>
      <c r="BB98" s="186"/>
      <c r="BC98" s="186"/>
      <c r="BD98" s="186"/>
      <c r="BE98" s="186"/>
      <c r="BF98" s="186"/>
      <c r="BG98" s="187"/>
      <c r="BH98" s="174" t="s">
        <v>59</v>
      </c>
      <c r="BI98" s="175"/>
      <c r="BJ98" s="175"/>
      <c r="BK98" s="175"/>
      <c r="BL98" s="176"/>
      <c r="BM98" s="167" t="s">
        <v>60</v>
      </c>
      <c r="BN98" s="168"/>
      <c r="BO98" s="170"/>
      <c r="BP98" s="168"/>
      <c r="BQ98" s="170"/>
      <c r="BR98" s="168"/>
      <c r="BS98" s="170"/>
      <c r="BT98" s="168"/>
      <c r="BU98" s="170" t="s">
        <v>62</v>
      </c>
      <c r="BV98" s="168"/>
      <c r="BW98" s="170"/>
      <c r="BX98" s="226"/>
      <c r="CA98" s="5">
        <f>DATEVALUE(C98&amp;F98&amp;H98&amp;J98)</f>
        <v>38504</v>
      </c>
      <c r="HI98" s="1"/>
      <c r="HJ98" s="1"/>
      <c r="HK98" s="1"/>
      <c r="HL98" s="1"/>
      <c r="HM98" s="1"/>
      <c r="HN98" s="1"/>
      <c r="HO98" s="1"/>
      <c r="HP98" s="1"/>
    </row>
    <row r="99" spans="1:224" ht="15.75" customHeight="1">
      <c r="A99" s="141"/>
      <c r="B99" s="142"/>
      <c r="C99" s="121" t="s">
        <v>63</v>
      </c>
      <c r="D99" s="122"/>
      <c r="E99" s="122"/>
      <c r="F99" s="122"/>
      <c r="G99" s="122"/>
      <c r="H99" s="122"/>
      <c r="I99" s="122"/>
      <c r="J99" s="122"/>
      <c r="K99" s="123"/>
      <c r="L99" s="157" t="s">
        <v>163</v>
      </c>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9"/>
      <c r="AM99" s="77"/>
      <c r="AN99" s="78"/>
      <c r="AO99" s="78"/>
      <c r="AP99" s="78"/>
      <c r="AQ99" s="78"/>
      <c r="AR99" s="79"/>
      <c r="AS99" s="80" t="s">
        <v>164</v>
      </c>
      <c r="AT99" s="81"/>
      <c r="AU99" s="81"/>
      <c r="AV99" s="81"/>
      <c r="AW99" s="81"/>
      <c r="AX99" s="81"/>
      <c r="AY99" s="81"/>
      <c r="AZ99" s="82"/>
      <c r="BA99" s="77" t="s">
        <v>165</v>
      </c>
      <c r="BB99" s="78"/>
      <c r="BC99" s="78"/>
      <c r="BD99" s="78"/>
      <c r="BE99" s="78"/>
      <c r="BF99" s="78"/>
      <c r="BG99" s="79"/>
      <c r="BH99" s="124" t="s">
        <v>68</v>
      </c>
      <c r="BI99" s="125"/>
      <c r="BJ99" s="125"/>
      <c r="BK99" s="125"/>
      <c r="BL99" s="126"/>
      <c r="BM99" s="68"/>
      <c r="BN99" s="115"/>
      <c r="BO99" s="114"/>
      <c r="BP99" s="115"/>
      <c r="BQ99" s="114"/>
      <c r="BR99" s="115"/>
      <c r="BS99" s="114"/>
      <c r="BT99" s="115"/>
      <c r="BU99" s="114"/>
      <c r="BV99" s="115"/>
      <c r="BW99" s="114"/>
      <c r="BX99" s="177"/>
      <c r="HI99" s="1"/>
      <c r="HJ99" s="1"/>
      <c r="HK99" s="1"/>
      <c r="HL99" s="1"/>
      <c r="HM99" s="1"/>
      <c r="HN99" s="1"/>
      <c r="HO99" s="1"/>
      <c r="HP99" s="1"/>
    </row>
    <row r="100" spans="1:224" ht="15.75" customHeight="1">
      <c r="A100" s="141"/>
      <c r="B100" s="142"/>
      <c r="C100" s="127" t="s">
        <v>149</v>
      </c>
      <c r="D100" s="128"/>
      <c r="E100" s="128"/>
      <c r="F100" s="129" t="s">
        <v>19</v>
      </c>
      <c r="G100" s="129"/>
      <c r="H100" s="130" t="s">
        <v>54</v>
      </c>
      <c r="I100" s="130"/>
      <c r="J100" s="129" t="s">
        <v>55</v>
      </c>
      <c r="K100" s="131"/>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1"/>
      <c r="AM100" s="77"/>
      <c r="AN100" s="78"/>
      <c r="AO100" s="78"/>
      <c r="AP100" s="78"/>
      <c r="AQ100" s="78"/>
      <c r="AR100" s="79"/>
      <c r="AS100" s="80" t="s">
        <v>166</v>
      </c>
      <c r="AT100" s="81"/>
      <c r="AU100" s="81"/>
      <c r="AV100" s="81"/>
      <c r="AW100" s="81"/>
      <c r="AX100" s="81"/>
      <c r="AY100" s="81"/>
      <c r="AZ100" s="82"/>
      <c r="BA100" s="77" t="s">
        <v>167</v>
      </c>
      <c r="BB100" s="78"/>
      <c r="BC100" s="78"/>
      <c r="BD100" s="78"/>
      <c r="BE100" s="78"/>
      <c r="BF100" s="78"/>
      <c r="BG100" s="79"/>
      <c r="BH100" s="171"/>
      <c r="BI100" s="172"/>
      <c r="BJ100" s="172"/>
      <c r="BK100" s="172"/>
      <c r="BL100" s="173"/>
      <c r="BM100" s="68"/>
      <c r="BN100" s="115"/>
      <c r="BO100" s="114"/>
      <c r="BP100" s="115"/>
      <c r="BQ100" s="114"/>
      <c r="BR100" s="115"/>
      <c r="BS100" s="114"/>
      <c r="BT100" s="115"/>
      <c r="BU100" s="114"/>
      <c r="BV100" s="115"/>
      <c r="BW100" s="114"/>
      <c r="BX100" s="177"/>
      <c r="CA100" s="5">
        <f>DATEVALUE(C100&amp;F100&amp;H100&amp;J100)</f>
        <v>38961</v>
      </c>
      <c r="HI100" s="1"/>
      <c r="HJ100" s="1"/>
      <c r="HK100" s="1"/>
      <c r="HL100" s="1"/>
      <c r="HM100" s="1"/>
      <c r="HN100" s="1"/>
      <c r="HO100" s="1"/>
      <c r="HP100" s="1"/>
    </row>
    <row r="101" spans="1:224" ht="15.75" customHeight="1">
      <c r="A101" s="141"/>
      <c r="B101" s="142"/>
      <c r="C101" s="136"/>
      <c r="D101" s="137"/>
      <c r="E101" s="137"/>
      <c r="F101" s="137"/>
      <c r="G101" s="137"/>
      <c r="H101" s="137"/>
      <c r="I101" s="137"/>
      <c r="J101" s="137"/>
      <c r="K101" s="138"/>
      <c r="L101" s="160"/>
      <c r="M101" s="160"/>
      <c r="N101" s="160"/>
      <c r="O101" s="160"/>
      <c r="P101" s="160"/>
      <c r="Q101" s="160"/>
      <c r="R101" s="160"/>
      <c r="S101" s="160"/>
      <c r="T101" s="160"/>
      <c r="U101" s="160"/>
      <c r="V101" s="160"/>
      <c r="W101" s="160"/>
      <c r="X101" s="160"/>
      <c r="Y101" s="160"/>
      <c r="Z101" s="160"/>
      <c r="AA101" s="160"/>
      <c r="AB101" s="160"/>
      <c r="AC101" s="160"/>
      <c r="AD101" s="160"/>
      <c r="AE101" s="160"/>
      <c r="AF101" s="160"/>
      <c r="AG101" s="160"/>
      <c r="AH101" s="160"/>
      <c r="AI101" s="160"/>
      <c r="AJ101" s="160"/>
      <c r="AK101" s="160"/>
      <c r="AL101" s="161"/>
      <c r="AM101" s="77"/>
      <c r="AN101" s="78"/>
      <c r="AO101" s="78"/>
      <c r="AP101" s="78"/>
      <c r="AQ101" s="78"/>
      <c r="AR101" s="79"/>
      <c r="AS101" s="80" t="s">
        <v>168</v>
      </c>
      <c r="AT101" s="81"/>
      <c r="AU101" s="81"/>
      <c r="AV101" s="81"/>
      <c r="AW101" s="81"/>
      <c r="AX101" s="81"/>
      <c r="AY101" s="81"/>
      <c r="AZ101" s="82"/>
      <c r="BA101" s="77" t="s">
        <v>470</v>
      </c>
      <c r="BB101" s="78"/>
      <c r="BC101" s="78"/>
      <c r="BD101" s="78"/>
      <c r="BE101" s="78"/>
      <c r="BF101" s="78"/>
      <c r="BG101" s="79"/>
      <c r="BH101" s="68"/>
      <c r="BI101" s="69"/>
      <c r="BJ101" s="69"/>
      <c r="BK101" s="69"/>
      <c r="BL101" s="177"/>
      <c r="BM101" s="68"/>
      <c r="BN101" s="115"/>
      <c r="BO101" s="114"/>
      <c r="BP101" s="115"/>
      <c r="BQ101" s="114"/>
      <c r="BR101" s="115"/>
      <c r="BS101" s="114"/>
      <c r="BT101" s="115"/>
      <c r="BU101" s="114"/>
      <c r="BV101" s="115"/>
      <c r="BW101" s="114"/>
      <c r="BX101" s="177"/>
    </row>
    <row r="102" spans="1:224" ht="15.75" customHeight="1">
      <c r="A102" s="141"/>
      <c r="B102" s="142"/>
      <c r="C102" s="71"/>
      <c r="D102" s="72"/>
      <c r="E102" s="72"/>
      <c r="F102" s="72"/>
      <c r="G102" s="72"/>
      <c r="H102" s="72"/>
      <c r="I102" s="72"/>
      <c r="J102" s="72"/>
      <c r="K102" s="73"/>
      <c r="L102" s="160"/>
      <c r="M102" s="160"/>
      <c r="N102" s="160"/>
      <c r="O102" s="160"/>
      <c r="P102" s="160"/>
      <c r="Q102" s="160"/>
      <c r="R102" s="160"/>
      <c r="S102" s="160"/>
      <c r="T102" s="160"/>
      <c r="U102" s="160"/>
      <c r="V102" s="160"/>
      <c r="W102" s="160"/>
      <c r="X102" s="160"/>
      <c r="Y102" s="160"/>
      <c r="Z102" s="160"/>
      <c r="AA102" s="160"/>
      <c r="AB102" s="160"/>
      <c r="AC102" s="160"/>
      <c r="AD102" s="160"/>
      <c r="AE102" s="160"/>
      <c r="AF102" s="160"/>
      <c r="AG102" s="160"/>
      <c r="AH102" s="160"/>
      <c r="AI102" s="160"/>
      <c r="AJ102" s="160"/>
      <c r="AK102" s="160"/>
      <c r="AL102" s="161"/>
      <c r="AM102" s="77"/>
      <c r="AN102" s="78"/>
      <c r="AO102" s="78"/>
      <c r="AP102" s="78"/>
      <c r="AQ102" s="78"/>
      <c r="AR102" s="79"/>
      <c r="AS102" s="80" t="s">
        <v>169</v>
      </c>
      <c r="AT102" s="81"/>
      <c r="AU102" s="81"/>
      <c r="AV102" s="81"/>
      <c r="AW102" s="81"/>
      <c r="AX102" s="81"/>
      <c r="AY102" s="81"/>
      <c r="AZ102" s="82"/>
      <c r="BA102" s="77" t="s">
        <v>170</v>
      </c>
      <c r="BB102" s="78"/>
      <c r="BC102" s="78"/>
      <c r="BD102" s="78"/>
      <c r="BE102" s="78"/>
      <c r="BF102" s="78"/>
      <c r="BG102" s="79"/>
      <c r="BH102" s="83" t="s">
        <v>74</v>
      </c>
      <c r="BI102" s="84"/>
      <c r="BJ102" s="84"/>
      <c r="BK102" s="84"/>
      <c r="BL102" s="85"/>
      <c r="BM102" s="68"/>
      <c r="BN102" s="115"/>
      <c r="BO102" s="114"/>
      <c r="BP102" s="115"/>
      <c r="BQ102" s="114"/>
      <c r="BR102" s="115"/>
      <c r="BS102" s="114"/>
      <c r="BT102" s="115"/>
      <c r="BU102" s="114"/>
      <c r="BV102" s="115"/>
      <c r="BW102" s="114"/>
      <c r="BX102" s="177"/>
    </row>
    <row r="103" spans="1:224" ht="15.75" customHeight="1">
      <c r="A103" s="143"/>
      <c r="B103" s="144"/>
      <c r="C103" s="86">
        <f ca="1">IFERROR(IF(AND(C100="",H100=""),ROUNDDOWN((DATEDIF($CA98,TODAY(),"m")+1)/12,0),ROUNDDOWN((DATEDIF($CA98,$CA100,"m")+1)/12,0)),"")</f>
        <v>1</v>
      </c>
      <c r="D103" s="87"/>
      <c r="E103" s="87"/>
      <c r="F103" s="88" t="s">
        <v>19</v>
      </c>
      <c r="G103" s="88"/>
      <c r="H103" s="87">
        <f ca="1">IFERROR(IF(AND(C100="",H100=""),DATEDIF($CA98,TODAY(),"m")-C103*12+1,DATEDIF($CA98,$CA100,"m")-C103*12+1),"")</f>
        <v>4</v>
      </c>
      <c r="I103" s="87"/>
      <c r="J103" s="88" t="s">
        <v>75</v>
      </c>
      <c r="K103" s="89"/>
      <c r="L103" s="363"/>
      <c r="M103" s="363"/>
      <c r="N103" s="363"/>
      <c r="O103" s="363"/>
      <c r="P103" s="363"/>
      <c r="Q103" s="363"/>
      <c r="R103" s="363"/>
      <c r="S103" s="363"/>
      <c r="T103" s="363"/>
      <c r="U103" s="363"/>
      <c r="V103" s="363"/>
      <c r="W103" s="363"/>
      <c r="X103" s="363"/>
      <c r="Y103" s="363"/>
      <c r="Z103" s="363"/>
      <c r="AA103" s="363"/>
      <c r="AB103" s="363"/>
      <c r="AC103" s="363"/>
      <c r="AD103" s="363"/>
      <c r="AE103" s="363"/>
      <c r="AF103" s="363"/>
      <c r="AG103" s="363"/>
      <c r="AH103" s="363"/>
      <c r="AI103" s="363"/>
      <c r="AJ103" s="363"/>
      <c r="AK103" s="363"/>
      <c r="AL103" s="364"/>
      <c r="AM103" s="93"/>
      <c r="AN103" s="94"/>
      <c r="AO103" s="94"/>
      <c r="AP103" s="94"/>
      <c r="AQ103" s="94"/>
      <c r="AR103" s="95"/>
      <c r="AS103" s="96" t="s">
        <v>171</v>
      </c>
      <c r="AT103" s="97"/>
      <c r="AU103" s="97"/>
      <c r="AV103" s="97"/>
      <c r="AW103" s="97"/>
      <c r="AX103" s="97"/>
      <c r="AY103" s="97"/>
      <c r="AZ103" s="98"/>
      <c r="BA103" s="93" t="s">
        <v>172</v>
      </c>
      <c r="BB103" s="94"/>
      <c r="BC103" s="94"/>
      <c r="BD103" s="94"/>
      <c r="BE103" s="94"/>
      <c r="BF103" s="94"/>
      <c r="BG103" s="95"/>
      <c r="BH103" s="99" t="s">
        <v>76</v>
      </c>
      <c r="BI103" s="100"/>
      <c r="BJ103" s="100"/>
      <c r="BK103" s="100"/>
      <c r="BL103" s="101"/>
      <c r="BM103" s="169"/>
      <c r="BN103" s="117"/>
      <c r="BO103" s="116"/>
      <c r="BP103" s="117"/>
      <c r="BQ103" s="116"/>
      <c r="BR103" s="117"/>
      <c r="BS103" s="116"/>
      <c r="BT103" s="117"/>
      <c r="BU103" s="116"/>
      <c r="BV103" s="117"/>
      <c r="BW103" s="116"/>
      <c r="BX103" s="227"/>
      <c r="CA103" s="5"/>
    </row>
    <row r="104" spans="1:224" ht="9" customHeight="1">
      <c r="A104" s="6"/>
      <c r="B104" s="6"/>
      <c r="C104" s="7"/>
      <c r="D104" s="7"/>
      <c r="E104" s="8"/>
      <c r="F104" s="9"/>
      <c r="G104" s="9"/>
      <c r="H104" s="9"/>
      <c r="I104" s="9"/>
      <c r="J104" s="9"/>
      <c r="K104" s="9"/>
      <c r="L104" s="9"/>
      <c r="M104" s="9"/>
      <c r="N104" s="10"/>
      <c r="O104" s="10"/>
      <c r="P104" s="10"/>
      <c r="Q104" s="10"/>
      <c r="R104" s="10"/>
      <c r="S104" s="10"/>
      <c r="T104" s="10"/>
      <c r="U104" s="10"/>
      <c r="V104" s="10"/>
      <c r="W104" s="10"/>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2"/>
      <c r="BB104" s="12"/>
      <c r="BC104" s="12"/>
      <c r="BD104" s="12"/>
      <c r="BE104" s="12"/>
      <c r="BF104" s="12"/>
      <c r="BG104" s="12"/>
      <c r="BH104" s="12"/>
      <c r="BI104" s="12"/>
      <c r="BJ104" s="13"/>
      <c r="BK104" s="13"/>
      <c r="BL104" s="13"/>
      <c r="BM104" s="13"/>
      <c r="BN104" s="13"/>
      <c r="BO104" s="13"/>
      <c r="BP104" s="13"/>
      <c r="BQ104" s="13"/>
      <c r="BR104" s="10"/>
      <c r="BS104" s="10"/>
      <c r="BT104" s="14"/>
      <c r="BU104" s="14"/>
      <c r="BV104" s="14"/>
      <c r="BW104" s="14"/>
      <c r="BX104" s="14"/>
    </row>
    <row r="105" spans="1:224" ht="13.5" customHeight="1">
      <c r="A105" s="13" t="s">
        <v>173</v>
      </c>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row>
    <row r="106" spans="1:224" ht="13.25" customHeight="1">
      <c r="A106" s="345" t="s">
        <v>520</v>
      </c>
      <c r="B106" s="345"/>
      <c r="C106" s="345"/>
      <c r="D106" s="345"/>
      <c r="E106" s="345"/>
      <c r="F106" s="345"/>
      <c r="G106" s="345"/>
      <c r="H106" s="345"/>
      <c r="I106" s="345"/>
      <c r="J106" s="345"/>
      <c r="K106" s="345"/>
      <c r="L106" s="345"/>
      <c r="M106" s="345"/>
      <c r="N106" s="345"/>
      <c r="O106" s="345"/>
      <c r="P106" s="345"/>
      <c r="Q106" s="345"/>
      <c r="R106" s="345"/>
      <c r="S106" s="345"/>
      <c r="T106" s="345"/>
      <c r="U106" s="345"/>
      <c r="V106" s="345"/>
      <c r="W106" s="345"/>
      <c r="X106" s="345"/>
      <c r="Y106" s="345"/>
      <c r="Z106" s="345"/>
      <c r="AA106" s="345"/>
      <c r="AB106" s="345"/>
      <c r="AC106" s="345"/>
      <c r="AD106" s="345"/>
      <c r="AE106" s="345"/>
      <c r="AF106" s="345"/>
      <c r="AG106" s="345"/>
      <c r="AH106" s="345"/>
      <c r="AI106" s="345"/>
      <c r="AJ106" s="345"/>
      <c r="AK106" s="345"/>
      <c r="AL106" s="345"/>
      <c r="AM106" s="345"/>
      <c r="AN106" s="345"/>
      <c r="AO106" s="345"/>
      <c r="AP106" s="345"/>
      <c r="AQ106" s="345"/>
      <c r="AR106" s="345"/>
      <c r="AS106" s="345"/>
      <c r="AT106" s="345"/>
      <c r="AU106" s="345"/>
      <c r="AV106" s="345"/>
      <c r="AW106" s="345"/>
      <c r="AX106" s="345"/>
      <c r="AY106" s="345"/>
      <c r="AZ106" s="345"/>
      <c r="BA106" s="345"/>
      <c r="BB106" s="345"/>
      <c r="BC106" s="345"/>
      <c r="BD106" s="345"/>
      <c r="BE106" s="345"/>
      <c r="BF106" s="345"/>
      <c r="BG106" s="345"/>
      <c r="BH106" s="345"/>
      <c r="BI106" s="345"/>
      <c r="BJ106" s="345"/>
      <c r="BK106" s="345"/>
      <c r="BL106" s="345"/>
      <c r="BM106" s="345"/>
      <c r="BN106" s="345"/>
      <c r="BO106" s="345"/>
      <c r="BP106" s="345"/>
      <c r="BQ106" s="345"/>
      <c r="BR106" s="345"/>
      <c r="BS106" s="345"/>
      <c r="BT106" s="345"/>
      <c r="BU106" s="345"/>
      <c r="BV106" s="345"/>
      <c r="BW106" s="345"/>
      <c r="BX106" s="345"/>
    </row>
    <row r="107" spans="1:224" ht="8"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row>
    <row r="108" spans="1:224" ht="13.5" customHeight="1">
      <c r="A108" s="353" t="s">
        <v>174</v>
      </c>
      <c r="B108" s="354"/>
      <c r="C108" s="346" t="s">
        <v>175</v>
      </c>
      <c r="D108" s="347"/>
      <c r="E108" s="347"/>
      <c r="F108" s="347"/>
      <c r="G108" s="347"/>
      <c r="H108" s="347"/>
      <c r="I108" s="347"/>
      <c r="J108" s="347"/>
      <c r="K108" s="347"/>
      <c r="L108" s="347"/>
      <c r="M108" s="347"/>
      <c r="N108" s="347"/>
      <c r="O108" s="347"/>
      <c r="P108" s="347"/>
      <c r="Q108" s="348"/>
      <c r="R108" s="346" t="s">
        <v>176</v>
      </c>
      <c r="S108" s="347"/>
      <c r="T108" s="347"/>
      <c r="U108" s="347"/>
      <c r="V108" s="347"/>
      <c r="W108" s="347"/>
      <c r="X108" s="347"/>
      <c r="Y108" s="347"/>
      <c r="Z108" s="347"/>
      <c r="AA108" s="347"/>
      <c r="AB108" s="347"/>
      <c r="AC108" s="347"/>
      <c r="AD108" s="347"/>
      <c r="AE108" s="347"/>
      <c r="AF108" s="347"/>
      <c r="AG108" s="352"/>
      <c r="AH108" s="193" t="s">
        <v>529</v>
      </c>
      <c r="AI108" s="194"/>
      <c r="AJ108" s="194"/>
      <c r="AK108" s="194"/>
      <c r="AL108" s="194"/>
      <c r="AM108" s="194"/>
      <c r="AN108" s="194"/>
      <c r="AO108" s="194"/>
      <c r="AP108" s="194"/>
      <c r="AQ108" s="194"/>
      <c r="AR108" s="194"/>
      <c r="AS108" s="194"/>
      <c r="AT108" s="195"/>
      <c r="AU108" s="191" t="s">
        <v>177</v>
      </c>
      <c r="AV108" s="192"/>
      <c r="AW108" s="349" t="s">
        <v>178</v>
      </c>
      <c r="AX108" s="350"/>
      <c r="AY108" s="350"/>
      <c r="AZ108" s="350"/>
      <c r="BA108" s="350"/>
      <c r="BB108" s="350"/>
      <c r="BC108" s="350"/>
      <c r="BD108" s="350"/>
      <c r="BE108" s="350"/>
      <c r="BF108" s="350"/>
      <c r="BG108" s="350"/>
      <c r="BH108" s="350"/>
      <c r="BI108" s="350"/>
      <c r="BJ108" s="350"/>
      <c r="BK108" s="351"/>
      <c r="BL108" s="210" t="s">
        <v>179</v>
      </c>
      <c r="BM108" s="211"/>
      <c r="BN108" s="211"/>
      <c r="BO108" s="211"/>
      <c r="BP108" s="211"/>
      <c r="BQ108" s="211"/>
      <c r="BR108" s="211"/>
      <c r="BS108" s="211"/>
      <c r="BT108" s="211"/>
      <c r="BU108" s="211"/>
      <c r="BV108" s="212"/>
      <c r="BW108" s="191" t="s">
        <v>177</v>
      </c>
      <c r="BX108" s="192"/>
    </row>
    <row r="109" spans="1:224" ht="13.5" customHeight="1">
      <c r="A109" s="312"/>
      <c r="B109" s="297"/>
      <c r="C109" s="338" t="s">
        <v>180</v>
      </c>
      <c r="D109" s="197"/>
      <c r="E109" s="197"/>
      <c r="F109" s="197"/>
      <c r="G109" s="197"/>
      <c r="H109" s="197"/>
      <c r="I109" s="197"/>
      <c r="J109" s="197"/>
      <c r="K109" s="197"/>
      <c r="L109" s="197"/>
      <c r="M109" s="197"/>
      <c r="N109" s="197"/>
      <c r="O109" s="198"/>
      <c r="P109" s="191"/>
      <c r="Q109" s="192"/>
      <c r="R109" s="35" t="s">
        <v>181</v>
      </c>
      <c r="S109" s="23"/>
      <c r="T109" s="23"/>
      <c r="U109" s="23"/>
      <c r="V109" s="23"/>
      <c r="W109" s="23"/>
      <c r="X109" s="23"/>
      <c r="Y109" s="23"/>
      <c r="Z109" s="23"/>
      <c r="AA109" s="23"/>
      <c r="AB109" s="23"/>
      <c r="AC109" s="23"/>
      <c r="AD109" s="23"/>
      <c r="AE109" s="36"/>
      <c r="AF109" s="191"/>
      <c r="AG109" s="192"/>
      <c r="AH109" s="193" t="s">
        <v>182</v>
      </c>
      <c r="AI109" s="194"/>
      <c r="AJ109" s="194"/>
      <c r="AK109" s="194"/>
      <c r="AL109" s="194"/>
      <c r="AM109" s="194"/>
      <c r="AN109" s="194"/>
      <c r="AO109" s="194"/>
      <c r="AP109" s="194"/>
      <c r="AQ109" s="194"/>
      <c r="AR109" s="194"/>
      <c r="AS109" s="194"/>
      <c r="AT109" s="195"/>
      <c r="AU109" s="191"/>
      <c r="AV109" s="192"/>
      <c r="AW109" s="196" t="s">
        <v>183</v>
      </c>
      <c r="AX109" s="197"/>
      <c r="AY109" s="197"/>
      <c r="AZ109" s="197"/>
      <c r="BA109" s="197"/>
      <c r="BB109" s="197"/>
      <c r="BC109" s="197"/>
      <c r="BD109" s="197"/>
      <c r="BE109" s="197"/>
      <c r="BF109" s="197"/>
      <c r="BG109" s="197"/>
      <c r="BH109" s="197"/>
      <c r="BI109" s="198"/>
      <c r="BJ109" s="191"/>
      <c r="BK109" s="192"/>
      <c r="BL109" s="210" t="s">
        <v>184</v>
      </c>
      <c r="BM109" s="211"/>
      <c r="BN109" s="211"/>
      <c r="BO109" s="211"/>
      <c r="BP109" s="211"/>
      <c r="BQ109" s="211"/>
      <c r="BR109" s="211"/>
      <c r="BS109" s="211"/>
      <c r="BT109" s="211"/>
      <c r="BU109" s="211"/>
      <c r="BV109" s="212"/>
      <c r="BW109" s="191" t="s">
        <v>177</v>
      </c>
      <c r="BX109" s="192"/>
    </row>
    <row r="110" spans="1:224" ht="13.5" customHeight="1">
      <c r="A110" s="312"/>
      <c r="B110" s="297"/>
      <c r="C110" s="338" t="s">
        <v>47</v>
      </c>
      <c r="D110" s="197"/>
      <c r="E110" s="197"/>
      <c r="F110" s="197"/>
      <c r="G110" s="197"/>
      <c r="H110" s="197"/>
      <c r="I110" s="197"/>
      <c r="J110" s="197"/>
      <c r="K110" s="197"/>
      <c r="L110" s="197"/>
      <c r="M110" s="197"/>
      <c r="N110" s="197"/>
      <c r="O110" s="198"/>
      <c r="P110" s="191"/>
      <c r="Q110" s="192"/>
      <c r="R110" s="35" t="s">
        <v>65</v>
      </c>
      <c r="S110" s="23"/>
      <c r="T110" s="23"/>
      <c r="U110" s="23"/>
      <c r="V110" s="23"/>
      <c r="W110" s="23"/>
      <c r="X110" s="23"/>
      <c r="Y110" s="23"/>
      <c r="Z110" s="23"/>
      <c r="AA110" s="23"/>
      <c r="AB110" s="23"/>
      <c r="AC110" s="23"/>
      <c r="AD110" s="23"/>
      <c r="AE110" s="36"/>
      <c r="AF110" s="191" t="s">
        <v>185</v>
      </c>
      <c r="AG110" s="192"/>
      <c r="AH110" s="193" t="s">
        <v>186</v>
      </c>
      <c r="AI110" s="194"/>
      <c r="AJ110" s="194"/>
      <c r="AK110" s="194"/>
      <c r="AL110" s="194"/>
      <c r="AM110" s="194"/>
      <c r="AN110" s="194"/>
      <c r="AO110" s="194"/>
      <c r="AP110" s="194"/>
      <c r="AQ110" s="194"/>
      <c r="AR110" s="194"/>
      <c r="AS110" s="194"/>
      <c r="AT110" s="195"/>
      <c r="AU110" s="191" t="s">
        <v>177</v>
      </c>
      <c r="AV110" s="192"/>
      <c r="AW110" s="196" t="s">
        <v>187</v>
      </c>
      <c r="AX110" s="197"/>
      <c r="AY110" s="197"/>
      <c r="AZ110" s="197"/>
      <c r="BA110" s="197"/>
      <c r="BB110" s="197"/>
      <c r="BC110" s="197"/>
      <c r="BD110" s="197"/>
      <c r="BE110" s="197"/>
      <c r="BF110" s="197"/>
      <c r="BG110" s="197"/>
      <c r="BH110" s="197"/>
      <c r="BI110" s="198"/>
      <c r="BJ110" s="191"/>
      <c r="BK110" s="192"/>
      <c r="BL110" s="210" t="s">
        <v>188</v>
      </c>
      <c r="BM110" s="211"/>
      <c r="BN110" s="211"/>
      <c r="BO110" s="211"/>
      <c r="BP110" s="211"/>
      <c r="BQ110" s="211"/>
      <c r="BR110" s="211"/>
      <c r="BS110" s="211"/>
      <c r="BT110" s="211"/>
      <c r="BU110" s="211"/>
      <c r="BV110" s="212"/>
      <c r="BW110" s="191"/>
      <c r="BX110" s="192"/>
    </row>
    <row r="111" spans="1:224" ht="13.5" customHeight="1">
      <c r="A111" s="312"/>
      <c r="B111" s="297"/>
      <c r="C111" s="338" t="s">
        <v>189</v>
      </c>
      <c r="D111" s="197"/>
      <c r="E111" s="197"/>
      <c r="F111" s="197"/>
      <c r="G111" s="197"/>
      <c r="H111" s="197"/>
      <c r="I111" s="197"/>
      <c r="J111" s="197"/>
      <c r="K111" s="197"/>
      <c r="L111" s="197"/>
      <c r="M111" s="197"/>
      <c r="N111" s="197"/>
      <c r="O111" s="198"/>
      <c r="P111" s="191"/>
      <c r="Q111" s="192"/>
      <c r="R111" s="35" t="s">
        <v>190</v>
      </c>
      <c r="S111" s="23"/>
      <c r="T111" s="23"/>
      <c r="U111" s="23"/>
      <c r="V111" s="23"/>
      <c r="W111" s="23"/>
      <c r="X111" s="23"/>
      <c r="Y111" s="23"/>
      <c r="Z111" s="23"/>
      <c r="AA111" s="23"/>
      <c r="AB111" s="23"/>
      <c r="AC111" s="23"/>
      <c r="AD111" s="23"/>
      <c r="AE111" s="36"/>
      <c r="AF111" s="191"/>
      <c r="AG111" s="192"/>
      <c r="AH111" s="193" t="s">
        <v>191</v>
      </c>
      <c r="AI111" s="194"/>
      <c r="AJ111" s="194"/>
      <c r="AK111" s="194"/>
      <c r="AL111" s="194"/>
      <c r="AM111" s="194"/>
      <c r="AN111" s="194"/>
      <c r="AO111" s="194"/>
      <c r="AP111" s="194"/>
      <c r="AQ111" s="194"/>
      <c r="AR111" s="194"/>
      <c r="AS111" s="194"/>
      <c r="AT111" s="195"/>
      <c r="AU111" s="191" t="s">
        <v>177</v>
      </c>
      <c r="AV111" s="192"/>
      <c r="AW111" s="362" t="s">
        <v>192</v>
      </c>
      <c r="AX111" s="197"/>
      <c r="AY111" s="197"/>
      <c r="AZ111" s="197"/>
      <c r="BA111" s="197"/>
      <c r="BB111" s="197"/>
      <c r="BC111" s="197"/>
      <c r="BD111" s="197"/>
      <c r="BE111" s="197"/>
      <c r="BF111" s="197"/>
      <c r="BG111" s="197"/>
      <c r="BH111" s="197"/>
      <c r="BI111" s="198"/>
      <c r="BJ111" s="191"/>
      <c r="BK111" s="192"/>
      <c r="BL111" s="210" t="s">
        <v>521</v>
      </c>
      <c r="BM111" s="211"/>
      <c r="BN111" s="211"/>
      <c r="BO111" s="211"/>
      <c r="BP111" s="211"/>
      <c r="BQ111" s="211"/>
      <c r="BR111" s="211"/>
      <c r="BS111" s="211"/>
      <c r="BT111" s="211"/>
      <c r="BU111" s="211"/>
      <c r="BV111" s="212"/>
      <c r="BW111" s="191" t="s">
        <v>177</v>
      </c>
      <c r="BX111" s="192"/>
    </row>
    <row r="112" spans="1:224" ht="13.5" customHeight="1">
      <c r="A112" s="312"/>
      <c r="B112" s="297"/>
      <c r="C112" s="338" t="s">
        <v>193</v>
      </c>
      <c r="D112" s="197"/>
      <c r="E112" s="197"/>
      <c r="F112" s="197"/>
      <c r="G112" s="197"/>
      <c r="H112" s="197"/>
      <c r="I112" s="197"/>
      <c r="J112" s="197"/>
      <c r="K112" s="197"/>
      <c r="L112" s="197"/>
      <c r="M112" s="197"/>
      <c r="N112" s="197"/>
      <c r="O112" s="198"/>
      <c r="P112" s="191" t="s">
        <v>194</v>
      </c>
      <c r="Q112" s="192"/>
      <c r="R112" s="35" t="s">
        <v>195</v>
      </c>
      <c r="S112" s="23"/>
      <c r="T112" s="23"/>
      <c r="U112" s="23"/>
      <c r="V112" s="23"/>
      <c r="W112" s="23"/>
      <c r="X112" s="23"/>
      <c r="Y112" s="23"/>
      <c r="Z112" s="23"/>
      <c r="AA112" s="23"/>
      <c r="AB112" s="23"/>
      <c r="AC112" s="23"/>
      <c r="AD112" s="23"/>
      <c r="AE112" s="36"/>
      <c r="AF112" s="191"/>
      <c r="AG112" s="192"/>
      <c r="AH112" s="193" t="s">
        <v>196</v>
      </c>
      <c r="AI112" s="194"/>
      <c r="AJ112" s="194"/>
      <c r="AK112" s="194"/>
      <c r="AL112" s="194"/>
      <c r="AM112" s="194"/>
      <c r="AN112" s="194"/>
      <c r="AO112" s="194"/>
      <c r="AP112" s="194"/>
      <c r="AQ112" s="194"/>
      <c r="AR112" s="194"/>
      <c r="AS112" s="194"/>
      <c r="AT112" s="195"/>
      <c r="AU112" s="191"/>
      <c r="AV112" s="192"/>
      <c r="AW112" s="196" t="s">
        <v>197</v>
      </c>
      <c r="AX112" s="197"/>
      <c r="AY112" s="197"/>
      <c r="AZ112" s="197"/>
      <c r="BA112" s="197"/>
      <c r="BB112" s="197"/>
      <c r="BC112" s="197"/>
      <c r="BD112" s="197"/>
      <c r="BE112" s="197"/>
      <c r="BF112" s="197"/>
      <c r="BG112" s="197"/>
      <c r="BH112" s="197"/>
      <c r="BI112" s="198"/>
      <c r="BJ112" s="191"/>
      <c r="BK112" s="192"/>
      <c r="BL112" s="210" t="s">
        <v>499</v>
      </c>
      <c r="BM112" s="211"/>
      <c r="BN112" s="211"/>
      <c r="BO112" s="211"/>
      <c r="BP112" s="211"/>
      <c r="BQ112" s="211"/>
      <c r="BR112" s="211"/>
      <c r="BS112" s="211"/>
      <c r="BT112" s="211"/>
      <c r="BU112" s="211"/>
      <c r="BV112" s="212"/>
      <c r="BW112" s="216" t="s">
        <v>185</v>
      </c>
      <c r="BX112" s="217"/>
    </row>
    <row r="113" spans="1:76" ht="13.5" customHeight="1">
      <c r="A113" s="312"/>
      <c r="B113" s="297"/>
      <c r="C113" s="338" t="s">
        <v>50</v>
      </c>
      <c r="D113" s="197"/>
      <c r="E113" s="197"/>
      <c r="F113" s="197"/>
      <c r="G113" s="197"/>
      <c r="H113" s="197"/>
      <c r="I113" s="197"/>
      <c r="J113" s="197"/>
      <c r="K113" s="197"/>
      <c r="L113" s="197"/>
      <c r="M113" s="197"/>
      <c r="N113" s="197"/>
      <c r="O113" s="198"/>
      <c r="P113" s="191" t="s">
        <v>194</v>
      </c>
      <c r="Q113" s="192"/>
      <c r="R113" s="35" t="s">
        <v>198</v>
      </c>
      <c r="S113" s="23"/>
      <c r="T113" s="23"/>
      <c r="U113" s="23"/>
      <c r="V113" s="23"/>
      <c r="W113" s="23"/>
      <c r="X113" s="23"/>
      <c r="Y113" s="23"/>
      <c r="Z113" s="23"/>
      <c r="AA113" s="23"/>
      <c r="AB113" s="23"/>
      <c r="AC113" s="23"/>
      <c r="AD113" s="23"/>
      <c r="AE113" s="36"/>
      <c r="AF113" s="191"/>
      <c r="AG113" s="192"/>
      <c r="AH113" s="193" t="s">
        <v>199</v>
      </c>
      <c r="AI113" s="194"/>
      <c r="AJ113" s="194"/>
      <c r="AK113" s="194"/>
      <c r="AL113" s="194"/>
      <c r="AM113" s="194"/>
      <c r="AN113" s="194"/>
      <c r="AO113" s="194"/>
      <c r="AP113" s="194"/>
      <c r="AQ113" s="194"/>
      <c r="AR113" s="194"/>
      <c r="AS113" s="194"/>
      <c r="AT113" s="195"/>
      <c r="AU113" s="191" t="s">
        <v>185</v>
      </c>
      <c r="AV113" s="192"/>
      <c r="AW113" s="196" t="s">
        <v>200</v>
      </c>
      <c r="AX113" s="197"/>
      <c r="AY113" s="197"/>
      <c r="AZ113" s="197"/>
      <c r="BA113" s="197"/>
      <c r="BB113" s="197"/>
      <c r="BC113" s="197"/>
      <c r="BD113" s="197"/>
      <c r="BE113" s="197"/>
      <c r="BF113" s="197"/>
      <c r="BG113" s="197"/>
      <c r="BH113" s="197"/>
      <c r="BI113" s="198"/>
      <c r="BJ113" s="191"/>
      <c r="BK113" s="192"/>
      <c r="BL113" s="218" t="s">
        <v>201</v>
      </c>
      <c r="BM113" s="219"/>
      <c r="BN113" s="219"/>
      <c r="BO113" s="219"/>
      <c r="BP113" s="219"/>
      <c r="BQ113" s="219"/>
      <c r="BR113" s="219"/>
      <c r="BS113" s="219"/>
      <c r="BT113" s="219"/>
      <c r="BU113" s="219"/>
      <c r="BV113" s="220"/>
      <c r="BW113" s="221"/>
      <c r="BX113" s="222"/>
    </row>
    <row r="114" spans="1:76" ht="13.5" customHeight="1">
      <c r="A114" s="312"/>
      <c r="B114" s="297"/>
      <c r="C114" s="338" t="s">
        <v>202</v>
      </c>
      <c r="D114" s="197"/>
      <c r="E114" s="197"/>
      <c r="F114" s="197"/>
      <c r="G114" s="197"/>
      <c r="H114" s="197"/>
      <c r="I114" s="197"/>
      <c r="J114" s="197"/>
      <c r="K114" s="197"/>
      <c r="L114" s="197"/>
      <c r="M114" s="197"/>
      <c r="N114" s="197"/>
      <c r="O114" s="198"/>
      <c r="P114" s="191" t="s">
        <v>194</v>
      </c>
      <c r="Q114" s="192"/>
      <c r="R114" s="35" t="s">
        <v>203</v>
      </c>
      <c r="S114" s="23"/>
      <c r="T114" s="23"/>
      <c r="U114" s="23"/>
      <c r="V114" s="23"/>
      <c r="W114" s="23"/>
      <c r="X114" s="23"/>
      <c r="Y114" s="23"/>
      <c r="Z114" s="23"/>
      <c r="AA114" s="23"/>
      <c r="AB114" s="23"/>
      <c r="AC114" s="23"/>
      <c r="AD114" s="23"/>
      <c r="AE114" s="36"/>
      <c r="AF114" s="191"/>
      <c r="AG114" s="192"/>
      <c r="AH114" s="193" t="s">
        <v>204</v>
      </c>
      <c r="AI114" s="194"/>
      <c r="AJ114" s="194"/>
      <c r="AK114" s="194"/>
      <c r="AL114" s="194"/>
      <c r="AM114" s="194"/>
      <c r="AN114" s="194"/>
      <c r="AO114" s="194"/>
      <c r="AP114" s="194"/>
      <c r="AQ114" s="194"/>
      <c r="AR114" s="194"/>
      <c r="AS114" s="194"/>
      <c r="AT114" s="195"/>
      <c r="AU114" s="191" t="s">
        <v>177</v>
      </c>
      <c r="AV114" s="192"/>
      <c r="AW114" s="196" t="s">
        <v>205</v>
      </c>
      <c r="AX114" s="197"/>
      <c r="AY114" s="197"/>
      <c r="AZ114" s="197"/>
      <c r="BA114" s="197"/>
      <c r="BB114" s="197"/>
      <c r="BC114" s="197"/>
      <c r="BD114" s="197"/>
      <c r="BE114" s="197"/>
      <c r="BF114" s="197"/>
      <c r="BG114" s="197"/>
      <c r="BH114" s="197"/>
      <c r="BI114" s="198"/>
      <c r="BJ114" s="191" t="s">
        <v>177</v>
      </c>
      <c r="BK114" s="192"/>
      <c r="BL114" s="37" t="s">
        <v>206</v>
      </c>
      <c r="BM114" s="25"/>
      <c r="BN114" s="25"/>
      <c r="BO114" s="25"/>
      <c r="BP114" s="25"/>
      <c r="BQ114" s="25"/>
      <c r="BR114" s="25"/>
      <c r="BS114" s="25"/>
      <c r="BT114" s="25"/>
      <c r="BU114" s="25"/>
      <c r="BV114" s="38"/>
      <c r="BW114" s="216" t="s">
        <v>185</v>
      </c>
      <c r="BX114" s="217"/>
    </row>
    <row r="115" spans="1:76" ht="13.5" customHeight="1">
      <c r="A115" s="312"/>
      <c r="B115" s="297"/>
      <c r="C115" s="338" t="s">
        <v>207</v>
      </c>
      <c r="D115" s="197"/>
      <c r="E115" s="197"/>
      <c r="F115" s="197"/>
      <c r="G115" s="197"/>
      <c r="H115" s="197"/>
      <c r="I115" s="197"/>
      <c r="J115" s="197"/>
      <c r="K115" s="197"/>
      <c r="L115" s="197"/>
      <c r="M115" s="197"/>
      <c r="N115" s="197"/>
      <c r="O115" s="198"/>
      <c r="P115" s="191" t="s">
        <v>194</v>
      </c>
      <c r="Q115" s="192"/>
      <c r="R115" s="35" t="s">
        <v>208</v>
      </c>
      <c r="S115" s="23"/>
      <c r="T115" s="23"/>
      <c r="U115" s="23"/>
      <c r="V115" s="23"/>
      <c r="W115" s="23"/>
      <c r="X115" s="23"/>
      <c r="Y115" s="23"/>
      <c r="Z115" s="23"/>
      <c r="AA115" s="23"/>
      <c r="AB115" s="23"/>
      <c r="AC115" s="23"/>
      <c r="AD115" s="23"/>
      <c r="AE115" s="36"/>
      <c r="AF115" s="191"/>
      <c r="AG115" s="192"/>
      <c r="AH115" s="193" t="s">
        <v>209</v>
      </c>
      <c r="AI115" s="194"/>
      <c r="AJ115" s="194"/>
      <c r="AK115" s="194"/>
      <c r="AL115" s="194"/>
      <c r="AM115" s="194"/>
      <c r="AN115" s="194"/>
      <c r="AO115" s="194"/>
      <c r="AP115" s="194"/>
      <c r="AQ115" s="194"/>
      <c r="AR115" s="194"/>
      <c r="AS115" s="194"/>
      <c r="AT115" s="195"/>
      <c r="AU115" s="191"/>
      <c r="AV115" s="192"/>
      <c r="AW115" s="196" t="s">
        <v>210</v>
      </c>
      <c r="AX115" s="197"/>
      <c r="AY115" s="197"/>
      <c r="AZ115" s="197"/>
      <c r="BA115" s="197"/>
      <c r="BB115" s="197"/>
      <c r="BC115" s="197"/>
      <c r="BD115" s="197"/>
      <c r="BE115" s="197"/>
      <c r="BF115" s="197"/>
      <c r="BG115" s="197"/>
      <c r="BH115" s="197"/>
      <c r="BI115" s="198"/>
      <c r="BJ115" s="191"/>
      <c r="BK115" s="192"/>
      <c r="BL115" s="37" t="s">
        <v>211</v>
      </c>
      <c r="BM115" s="25"/>
      <c r="BN115" s="25"/>
      <c r="BO115" s="25"/>
      <c r="BP115" s="25"/>
      <c r="BQ115" s="25"/>
      <c r="BR115" s="25"/>
      <c r="BS115" s="25"/>
      <c r="BT115" s="25"/>
      <c r="BU115" s="25"/>
      <c r="BV115" s="38"/>
      <c r="BW115" s="224" t="s">
        <v>177</v>
      </c>
      <c r="BX115" s="225"/>
    </row>
    <row r="116" spans="1:76" ht="13.5" customHeight="1">
      <c r="A116" s="312"/>
      <c r="B116" s="297"/>
      <c r="C116" s="338" t="s">
        <v>52</v>
      </c>
      <c r="D116" s="197"/>
      <c r="E116" s="197"/>
      <c r="F116" s="197"/>
      <c r="G116" s="197"/>
      <c r="H116" s="197"/>
      <c r="I116" s="197"/>
      <c r="J116" s="197"/>
      <c r="K116" s="197"/>
      <c r="L116" s="197"/>
      <c r="M116" s="197"/>
      <c r="N116" s="197"/>
      <c r="O116" s="198"/>
      <c r="P116" s="191" t="s">
        <v>194</v>
      </c>
      <c r="Q116" s="192"/>
      <c r="R116" s="35" t="s">
        <v>212</v>
      </c>
      <c r="S116" s="23"/>
      <c r="T116" s="23"/>
      <c r="U116" s="23"/>
      <c r="V116" s="23"/>
      <c r="W116" s="23"/>
      <c r="X116" s="23"/>
      <c r="Y116" s="23"/>
      <c r="Z116" s="23"/>
      <c r="AA116" s="23"/>
      <c r="AB116" s="23"/>
      <c r="AC116" s="23"/>
      <c r="AD116" s="23"/>
      <c r="AE116" s="36"/>
      <c r="AF116" s="191"/>
      <c r="AG116" s="192"/>
      <c r="AH116" s="193" t="s">
        <v>213</v>
      </c>
      <c r="AI116" s="194"/>
      <c r="AJ116" s="194"/>
      <c r="AK116" s="194"/>
      <c r="AL116" s="194"/>
      <c r="AM116" s="194"/>
      <c r="AN116" s="194"/>
      <c r="AO116" s="194"/>
      <c r="AP116" s="194"/>
      <c r="AQ116" s="194"/>
      <c r="AR116" s="194"/>
      <c r="AS116" s="194"/>
      <c r="AT116" s="195"/>
      <c r="AU116" s="191" t="s">
        <v>177</v>
      </c>
      <c r="AV116" s="192"/>
      <c r="AW116" s="196" t="s">
        <v>214</v>
      </c>
      <c r="AX116" s="197"/>
      <c r="AY116" s="197"/>
      <c r="AZ116" s="197"/>
      <c r="BA116" s="197"/>
      <c r="BB116" s="197"/>
      <c r="BC116" s="197"/>
      <c r="BD116" s="197"/>
      <c r="BE116" s="197"/>
      <c r="BF116" s="197"/>
      <c r="BG116" s="197"/>
      <c r="BH116" s="197"/>
      <c r="BI116" s="198"/>
      <c r="BJ116" s="191"/>
      <c r="BK116" s="192"/>
      <c r="BL116" s="210" t="s">
        <v>215</v>
      </c>
      <c r="BM116" s="211"/>
      <c r="BN116" s="211"/>
      <c r="BO116" s="211"/>
      <c r="BP116" s="211"/>
      <c r="BQ116" s="211"/>
      <c r="BR116" s="211"/>
      <c r="BS116" s="211"/>
      <c r="BT116" s="211"/>
      <c r="BU116" s="211"/>
      <c r="BV116" s="212"/>
      <c r="BW116" s="216" t="s">
        <v>177</v>
      </c>
      <c r="BX116" s="217"/>
    </row>
    <row r="117" spans="1:76" ht="13.5" customHeight="1">
      <c r="A117" s="312"/>
      <c r="B117" s="297"/>
      <c r="C117" s="338" t="s">
        <v>216</v>
      </c>
      <c r="D117" s="197"/>
      <c r="E117" s="197"/>
      <c r="F117" s="197"/>
      <c r="G117" s="197"/>
      <c r="H117" s="197"/>
      <c r="I117" s="197"/>
      <c r="J117" s="197"/>
      <c r="K117" s="197"/>
      <c r="L117" s="197"/>
      <c r="M117" s="197"/>
      <c r="N117" s="197"/>
      <c r="O117" s="198"/>
      <c r="P117" s="191"/>
      <c r="Q117" s="192"/>
      <c r="R117" s="35" t="s">
        <v>217</v>
      </c>
      <c r="S117" s="23"/>
      <c r="T117" s="23"/>
      <c r="U117" s="23"/>
      <c r="V117" s="23"/>
      <c r="W117" s="23"/>
      <c r="X117" s="23"/>
      <c r="Y117" s="23"/>
      <c r="Z117" s="23"/>
      <c r="AA117" s="23"/>
      <c r="AB117" s="23"/>
      <c r="AC117" s="23"/>
      <c r="AD117" s="23"/>
      <c r="AE117" s="36"/>
      <c r="AF117" s="191"/>
      <c r="AG117" s="192"/>
      <c r="AH117" s="193" t="s">
        <v>218</v>
      </c>
      <c r="AI117" s="194"/>
      <c r="AJ117" s="194"/>
      <c r="AK117" s="194"/>
      <c r="AL117" s="194"/>
      <c r="AM117" s="194"/>
      <c r="AN117" s="194"/>
      <c r="AO117" s="194"/>
      <c r="AP117" s="194"/>
      <c r="AQ117" s="194"/>
      <c r="AR117" s="194"/>
      <c r="AS117" s="194"/>
      <c r="AT117" s="195"/>
      <c r="AU117" s="191"/>
      <c r="AV117" s="192"/>
      <c r="AW117" s="193" t="s">
        <v>219</v>
      </c>
      <c r="AX117" s="194"/>
      <c r="AY117" s="194"/>
      <c r="AZ117" s="194"/>
      <c r="BA117" s="194"/>
      <c r="BB117" s="194"/>
      <c r="BC117" s="194"/>
      <c r="BD117" s="194"/>
      <c r="BE117" s="194"/>
      <c r="BF117" s="194"/>
      <c r="BG117" s="194"/>
      <c r="BH117" s="194"/>
      <c r="BI117" s="195"/>
      <c r="BJ117" s="191" t="s">
        <v>177</v>
      </c>
      <c r="BK117" s="192"/>
      <c r="BL117" s="210" t="s">
        <v>220</v>
      </c>
      <c r="BM117" s="211"/>
      <c r="BN117" s="211"/>
      <c r="BO117" s="211"/>
      <c r="BP117" s="211"/>
      <c r="BQ117" s="211"/>
      <c r="BR117" s="211"/>
      <c r="BS117" s="211"/>
      <c r="BT117" s="211"/>
      <c r="BU117" s="211"/>
      <c r="BV117" s="212"/>
      <c r="BW117" s="216" t="s">
        <v>177</v>
      </c>
      <c r="BX117" s="217"/>
    </row>
    <row r="118" spans="1:76" ht="13.5" customHeight="1">
      <c r="A118" s="312"/>
      <c r="B118" s="297"/>
      <c r="C118" s="338" t="s">
        <v>221</v>
      </c>
      <c r="D118" s="197"/>
      <c r="E118" s="197"/>
      <c r="F118" s="197"/>
      <c r="G118" s="197"/>
      <c r="H118" s="197"/>
      <c r="I118" s="197"/>
      <c r="J118" s="197"/>
      <c r="K118" s="197"/>
      <c r="L118" s="197"/>
      <c r="M118" s="197"/>
      <c r="N118" s="197"/>
      <c r="O118" s="198"/>
      <c r="P118" s="191"/>
      <c r="Q118" s="192"/>
      <c r="R118" s="35" t="s">
        <v>222</v>
      </c>
      <c r="S118" s="23"/>
      <c r="T118" s="23"/>
      <c r="U118" s="23"/>
      <c r="V118" s="23"/>
      <c r="W118" s="23"/>
      <c r="X118" s="23"/>
      <c r="Y118" s="23"/>
      <c r="Z118" s="23"/>
      <c r="AA118" s="23"/>
      <c r="AB118" s="23"/>
      <c r="AC118" s="23"/>
      <c r="AD118" s="23"/>
      <c r="AE118" s="36"/>
      <c r="AF118" s="191" t="s">
        <v>177</v>
      </c>
      <c r="AG118" s="192"/>
      <c r="AH118" s="213" t="s">
        <v>223</v>
      </c>
      <c r="AI118" s="339"/>
      <c r="AJ118" s="339"/>
      <c r="AK118" s="339"/>
      <c r="AL118" s="339"/>
      <c r="AM118" s="339"/>
      <c r="AN118" s="339"/>
      <c r="AO118" s="339"/>
      <c r="AP118" s="339"/>
      <c r="AQ118" s="339"/>
      <c r="AR118" s="339"/>
      <c r="AS118" s="339"/>
      <c r="AT118" s="340"/>
      <c r="AU118" s="191"/>
      <c r="AV118" s="192"/>
      <c r="AW118" s="213" t="s">
        <v>224</v>
      </c>
      <c r="AX118" s="339"/>
      <c r="AY118" s="339"/>
      <c r="AZ118" s="339"/>
      <c r="BA118" s="339"/>
      <c r="BB118" s="339"/>
      <c r="BC118" s="339"/>
      <c r="BD118" s="339"/>
      <c r="BE118" s="339"/>
      <c r="BF118" s="339"/>
      <c r="BG118" s="339"/>
      <c r="BH118" s="339"/>
      <c r="BI118" s="340"/>
      <c r="BJ118" s="191" t="s">
        <v>177</v>
      </c>
      <c r="BK118" s="192"/>
      <c r="BL118" s="223"/>
      <c r="BM118" s="211"/>
      <c r="BN118" s="211"/>
      <c r="BO118" s="211"/>
      <c r="BP118" s="211"/>
      <c r="BQ118" s="211"/>
      <c r="BR118" s="211"/>
      <c r="BS118" s="211"/>
      <c r="BT118" s="211"/>
      <c r="BU118" s="211"/>
      <c r="BV118" s="212"/>
      <c r="BW118" s="216"/>
      <c r="BX118" s="217"/>
    </row>
    <row r="119" spans="1:76" ht="13.5" customHeight="1">
      <c r="A119" s="312"/>
      <c r="B119" s="297"/>
      <c r="C119" s="338"/>
      <c r="D119" s="197"/>
      <c r="E119" s="197"/>
      <c r="F119" s="197"/>
      <c r="G119" s="197"/>
      <c r="H119" s="197"/>
      <c r="I119" s="197"/>
      <c r="J119" s="197"/>
      <c r="K119" s="197"/>
      <c r="L119" s="197"/>
      <c r="M119" s="197"/>
      <c r="N119" s="197"/>
      <c r="O119" s="198"/>
      <c r="P119" s="191"/>
      <c r="Q119" s="192"/>
      <c r="R119" s="35" t="s">
        <v>225</v>
      </c>
      <c r="S119" s="23"/>
      <c r="T119" s="23"/>
      <c r="U119" s="23"/>
      <c r="V119" s="23"/>
      <c r="W119" s="23"/>
      <c r="X119" s="23"/>
      <c r="Y119" s="23"/>
      <c r="Z119" s="23"/>
      <c r="AA119" s="23"/>
      <c r="AB119" s="23"/>
      <c r="AC119" s="23"/>
      <c r="AD119" s="23"/>
      <c r="AE119" s="36"/>
      <c r="AF119" s="191"/>
      <c r="AG119" s="192"/>
      <c r="AH119" s="213" t="s">
        <v>226</v>
      </c>
      <c r="AI119" s="339"/>
      <c r="AJ119" s="339"/>
      <c r="AK119" s="339"/>
      <c r="AL119" s="339"/>
      <c r="AM119" s="339"/>
      <c r="AN119" s="339"/>
      <c r="AO119" s="339"/>
      <c r="AP119" s="339"/>
      <c r="AQ119" s="339"/>
      <c r="AR119" s="339"/>
      <c r="AS119" s="339"/>
      <c r="AT119" s="340"/>
      <c r="AU119" s="191"/>
      <c r="AV119" s="192"/>
      <c r="AW119" s="213" t="s">
        <v>227</v>
      </c>
      <c r="AX119" s="214"/>
      <c r="AY119" s="214"/>
      <c r="AZ119" s="214"/>
      <c r="BA119" s="214"/>
      <c r="BB119" s="214"/>
      <c r="BC119" s="214"/>
      <c r="BD119" s="214"/>
      <c r="BE119" s="214"/>
      <c r="BF119" s="214"/>
      <c r="BG119" s="214"/>
      <c r="BH119" s="214"/>
      <c r="BI119" s="215"/>
      <c r="BJ119" s="191" t="s">
        <v>177</v>
      </c>
      <c r="BK119" s="192"/>
      <c r="BL119" s="210"/>
      <c r="BM119" s="211"/>
      <c r="BN119" s="211"/>
      <c r="BO119" s="211"/>
      <c r="BP119" s="211"/>
      <c r="BQ119" s="211"/>
      <c r="BR119" s="211"/>
      <c r="BS119" s="211"/>
      <c r="BT119" s="211"/>
      <c r="BU119" s="211"/>
      <c r="BV119" s="212"/>
      <c r="BW119" s="216"/>
      <c r="BX119" s="217"/>
    </row>
    <row r="120" spans="1:76" ht="13.5" customHeight="1">
      <c r="A120" s="312"/>
      <c r="B120" s="297"/>
      <c r="C120" s="346" t="s">
        <v>228</v>
      </c>
      <c r="D120" s="347"/>
      <c r="E120" s="347"/>
      <c r="F120" s="347"/>
      <c r="G120" s="347"/>
      <c r="H120" s="347"/>
      <c r="I120" s="347"/>
      <c r="J120" s="347"/>
      <c r="K120" s="347"/>
      <c r="L120" s="347"/>
      <c r="M120" s="347"/>
      <c r="N120" s="347"/>
      <c r="O120" s="347"/>
      <c r="P120" s="347"/>
      <c r="Q120" s="352"/>
      <c r="R120" s="35" t="s">
        <v>229</v>
      </c>
      <c r="S120" s="23"/>
      <c r="T120" s="23"/>
      <c r="U120" s="23"/>
      <c r="V120" s="23"/>
      <c r="W120" s="23"/>
      <c r="X120" s="23"/>
      <c r="Y120" s="23"/>
      <c r="Z120" s="23"/>
      <c r="AA120" s="23"/>
      <c r="AB120" s="23"/>
      <c r="AC120" s="23"/>
      <c r="AD120" s="23"/>
      <c r="AE120" s="36"/>
      <c r="AF120" s="191" t="s">
        <v>177</v>
      </c>
      <c r="AG120" s="192"/>
      <c r="AH120" s="213" t="s">
        <v>230</v>
      </c>
      <c r="AI120" s="339"/>
      <c r="AJ120" s="339"/>
      <c r="AK120" s="339"/>
      <c r="AL120" s="339"/>
      <c r="AM120" s="339"/>
      <c r="AN120" s="339"/>
      <c r="AO120" s="339"/>
      <c r="AP120" s="339"/>
      <c r="AQ120" s="339"/>
      <c r="AR120" s="339"/>
      <c r="AS120" s="339"/>
      <c r="AT120" s="340"/>
      <c r="AU120" s="191"/>
      <c r="AV120" s="192"/>
      <c r="AW120" s="213" t="s">
        <v>231</v>
      </c>
      <c r="AX120" s="214"/>
      <c r="AY120" s="214"/>
      <c r="AZ120" s="214"/>
      <c r="BA120" s="214"/>
      <c r="BB120" s="214"/>
      <c r="BC120" s="214"/>
      <c r="BD120" s="214"/>
      <c r="BE120" s="214"/>
      <c r="BF120" s="214"/>
      <c r="BG120" s="214"/>
      <c r="BH120" s="214"/>
      <c r="BI120" s="215"/>
      <c r="BJ120" s="191"/>
      <c r="BK120" s="192"/>
      <c r="BL120" s="342" t="s">
        <v>232</v>
      </c>
      <c r="BM120" s="343"/>
      <c r="BN120" s="343"/>
      <c r="BO120" s="343"/>
      <c r="BP120" s="343"/>
      <c r="BQ120" s="343"/>
      <c r="BR120" s="343"/>
      <c r="BS120" s="343"/>
      <c r="BT120" s="343"/>
      <c r="BU120" s="343"/>
      <c r="BV120" s="343"/>
      <c r="BW120" s="343"/>
      <c r="BX120" s="344"/>
    </row>
    <row r="121" spans="1:76" ht="13.5" customHeight="1">
      <c r="A121" s="312"/>
      <c r="B121" s="297"/>
      <c r="C121" s="39" t="s">
        <v>233</v>
      </c>
      <c r="D121" s="24"/>
      <c r="E121" s="24"/>
      <c r="F121" s="24"/>
      <c r="G121" s="24"/>
      <c r="H121" s="24"/>
      <c r="I121" s="24"/>
      <c r="J121" s="24"/>
      <c r="K121" s="24"/>
      <c r="L121" s="24"/>
      <c r="M121" s="24"/>
      <c r="N121" s="24"/>
      <c r="O121" s="40"/>
      <c r="P121" s="191" t="s">
        <v>190</v>
      </c>
      <c r="Q121" s="192"/>
      <c r="R121" s="35" t="s">
        <v>128</v>
      </c>
      <c r="S121" s="23"/>
      <c r="T121" s="23"/>
      <c r="U121" s="23"/>
      <c r="V121" s="23"/>
      <c r="W121" s="23"/>
      <c r="X121" s="23"/>
      <c r="Y121" s="23"/>
      <c r="Z121" s="23"/>
      <c r="AA121" s="23"/>
      <c r="AB121" s="23"/>
      <c r="AC121" s="23"/>
      <c r="AD121" s="23"/>
      <c r="AE121" s="36"/>
      <c r="AF121" s="191" t="s">
        <v>185</v>
      </c>
      <c r="AG121" s="192"/>
      <c r="AH121" s="193"/>
      <c r="AI121" s="194"/>
      <c r="AJ121" s="194"/>
      <c r="AK121" s="194"/>
      <c r="AL121" s="194"/>
      <c r="AM121" s="194"/>
      <c r="AN121" s="194"/>
      <c r="AO121" s="194"/>
      <c r="AP121" s="194"/>
      <c r="AQ121" s="194"/>
      <c r="AR121" s="194"/>
      <c r="AS121" s="194"/>
      <c r="AT121" s="195"/>
      <c r="AU121" s="191"/>
      <c r="AV121" s="192"/>
      <c r="AW121" s="213" t="s">
        <v>234</v>
      </c>
      <c r="AX121" s="214"/>
      <c r="AY121" s="214"/>
      <c r="AZ121" s="214"/>
      <c r="BA121" s="214"/>
      <c r="BB121" s="214"/>
      <c r="BC121" s="214"/>
      <c r="BD121" s="214"/>
      <c r="BE121" s="214"/>
      <c r="BF121" s="214"/>
      <c r="BG121" s="214"/>
      <c r="BH121" s="214"/>
      <c r="BI121" s="215"/>
      <c r="BJ121" s="191"/>
      <c r="BK121" s="192"/>
      <c r="BL121" s="37" t="s">
        <v>235</v>
      </c>
      <c r="BM121" s="25"/>
      <c r="BN121" s="25"/>
      <c r="BO121" s="25"/>
      <c r="BP121" s="25"/>
      <c r="BQ121" s="25"/>
      <c r="BR121" s="25"/>
      <c r="BS121" s="25"/>
      <c r="BT121" s="25"/>
      <c r="BU121" s="25"/>
      <c r="BV121" s="38"/>
      <c r="BW121" s="191" t="s">
        <v>185</v>
      </c>
      <c r="BX121" s="192"/>
    </row>
    <row r="122" spans="1:76" ht="13.5" customHeight="1">
      <c r="A122" s="312"/>
      <c r="B122" s="297"/>
      <c r="C122" s="39" t="s">
        <v>236</v>
      </c>
      <c r="D122" s="24"/>
      <c r="E122" s="24"/>
      <c r="F122" s="24"/>
      <c r="G122" s="24"/>
      <c r="H122" s="24"/>
      <c r="I122" s="24"/>
      <c r="J122" s="24"/>
      <c r="K122" s="24"/>
      <c r="L122" s="24"/>
      <c r="M122" s="24"/>
      <c r="N122" s="24"/>
      <c r="O122" s="40"/>
      <c r="P122" s="191" t="s">
        <v>237</v>
      </c>
      <c r="Q122" s="192"/>
      <c r="R122" s="35" t="s">
        <v>238</v>
      </c>
      <c r="S122" s="23"/>
      <c r="T122" s="23"/>
      <c r="U122" s="23"/>
      <c r="V122" s="23"/>
      <c r="W122" s="23"/>
      <c r="X122" s="23"/>
      <c r="Y122" s="23"/>
      <c r="Z122" s="23"/>
      <c r="AA122" s="23"/>
      <c r="AB122" s="23"/>
      <c r="AC122" s="23"/>
      <c r="AD122" s="23"/>
      <c r="AE122" s="36"/>
      <c r="AF122" s="191"/>
      <c r="AG122" s="192"/>
      <c r="AH122" s="193"/>
      <c r="AI122" s="194"/>
      <c r="AJ122" s="194"/>
      <c r="AK122" s="194"/>
      <c r="AL122" s="194"/>
      <c r="AM122" s="194"/>
      <c r="AN122" s="194"/>
      <c r="AO122" s="194"/>
      <c r="AP122" s="194"/>
      <c r="AQ122" s="194"/>
      <c r="AR122" s="194"/>
      <c r="AS122" s="194"/>
      <c r="AT122" s="195"/>
      <c r="AU122" s="191"/>
      <c r="AV122" s="192"/>
      <c r="AW122" s="210" t="s">
        <v>522</v>
      </c>
      <c r="AX122" s="211"/>
      <c r="AY122" s="211"/>
      <c r="AZ122" s="211"/>
      <c r="BA122" s="211"/>
      <c r="BB122" s="211"/>
      <c r="BC122" s="211"/>
      <c r="BD122" s="211"/>
      <c r="BE122" s="211"/>
      <c r="BF122" s="211"/>
      <c r="BG122" s="212"/>
      <c r="BH122" s="26"/>
      <c r="BI122" s="41"/>
      <c r="BJ122" s="191" t="s">
        <v>177</v>
      </c>
      <c r="BK122" s="192"/>
      <c r="BL122" s="37" t="s">
        <v>240</v>
      </c>
      <c r="BM122" s="25"/>
      <c r="BN122" s="25"/>
      <c r="BO122" s="25"/>
      <c r="BP122" s="25"/>
      <c r="BQ122" s="25"/>
      <c r="BR122" s="25"/>
      <c r="BS122" s="25"/>
      <c r="BT122" s="25"/>
      <c r="BU122" s="25"/>
      <c r="BV122" s="38"/>
      <c r="BW122" s="191"/>
      <c r="BX122" s="192"/>
    </row>
    <row r="123" spans="1:76" ht="13.5" customHeight="1">
      <c r="A123" s="312"/>
      <c r="B123" s="297"/>
      <c r="C123" s="39" t="s">
        <v>241</v>
      </c>
      <c r="D123" s="24"/>
      <c r="E123" s="24"/>
      <c r="F123" s="24"/>
      <c r="G123" s="24"/>
      <c r="H123" s="24"/>
      <c r="I123" s="24"/>
      <c r="J123" s="24"/>
      <c r="K123" s="24"/>
      <c r="L123" s="24"/>
      <c r="M123" s="24"/>
      <c r="N123" s="24"/>
      <c r="O123" s="40"/>
      <c r="P123" s="191" t="s">
        <v>185</v>
      </c>
      <c r="Q123" s="192"/>
      <c r="R123" s="35" t="s">
        <v>89</v>
      </c>
      <c r="S123" s="23"/>
      <c r="T123" s="23"/>
      <c r="U123" s="23"/>
      <c r="V123" s="23"/>
      <c r="W123" s="23"/>
      <c r="X123" s="23"/>
      <c r="Y123" s="23"/>
      <c r="Z123" s="23"/>
      <c r="AA123" s="23"/>
      <c r="AB123" s="23"/>
      <c r="AC123" s="23"/>
      <c r="AD123" s="23"/>
      <c r="AE123" s="36"/>
      <c r="AF123" s="191" t="s">
        <v>177</v>
      </c>
      <c r="AG123" s="192"/>
      <c r="AH123" s="42" t="s">
        <v>242</v>
      </c>
      <c r="AI123" s="27"/>
      <c r="AJ123" s="27"/>
      <c r="AK123" s="27"/>
      <c r="AL123" s="27"/>
      <c r="AM123" s="27"/>
      <c r="AN123" s="27"/>
      <c r="AO123" s="27"/>
      <c r="AP123" s="27"/>
      <c r="AQ123" s="27"/>
      <c r="AR123" s="27"/>
      <c r="AS123" s="27"/>
      <c r="AT123" s="27"/>
      <c r="AU123" s="27"/>
      <c r="AV123" s="28"/>
      <c r="AW123" s="213" t="s">
        <v>243</v>
      </c>
      <c r="AX123" s="339"/>
      <c r="AY123" s="339"/>
      <c r="AZ123" s="339"/>
      <c r="BA123" s="339"/>
      <c r="BB123" s="339"/>
      <c r="BC123" s="339"/>
      <c r="BD123" s="339"/>
      <c r="BE123" s="339"/>
      <c r="BF123" s="339"/>
      <c r="BG123" s="339"/>
      <c r="BH123" s="339"/>
      <c r="BI123" s="340"/>
      <c r="BJ123" s="191"/>
      <c r="BK123" s="341"/>
      <c r="BL123" s="37" t="s">
        <v>244</v>
      </c>
      <c r="BM123" s="25"/>
      <c r="BN123" s="25"/>
      <c r="BO123" s="25"/>
      <c r="BP123" s="25"/>
      <c r="BQ123" s="25"/>
      <c r="BR123" s="25"/>
      <c r="BS123" s="25"/>
      <c r="BT123" s="25"/>
      <c r="BU123" s="25"/>
      <c r="BV123" s="38"/>
      <c r="BW123" s="191" t="s">
        <v>185</v>
      </c>
      <c r="BX123" s="192"/>
    </row>
    <row r="124" spans="1:76" ht="13.5" customHeight="1">
      <c r="A124" s="312"/>
      <c r="B124" s="297"/>
      <c r="C124" s="39" t="s">
        <v>245</v>
      </c>
      <c r="D124" s="24"/>
      <c r="E124" s="24"/>
      <c r="F124" s="24"/>
      <c r="G124" s="24"/>
      <c r="H124" s="24"/>
      <c r="I124" s="24"/>
      <c r="J124" s="24"/>
      <c r="K124" s="24"/>
      <c r="L124" s="24"/>
      <c r="M124" s="24"/>
      <c r="N124" s="24"/>
      <c r="O124" s="40"/>
      <c r="P124" s="191" t="s">
        <v>177</v>
      </c>
      <c r="Q124" s="192"/>
      <c r="R124" s="213" t="s">
        <v>246</v>
      </c>
      <c r="S124" s="339"/>
      <c r="T124" s="339"/>
      <c r="U124" s="339"/>
      <c r="V124" s="339"/>
      <c r="W124" s="339"/>
      <c r="X124" s="339"/>
      <c r="Y124" s="339"/>
      <c r="Z124" s="339"/>
      <c r="AA124" s="339"/>
      <c r="AB124" s="339"/>
      <c r="AC124" s="339"/>
      <c r="AD124" s="339"/>
      <c r="AE124" s="340"/>
      <c r="AF124" s="191" t="s">
        <v>177</v>
      </c>
      <c r="AG124" s="192"/>
      <c r="AH124" s="35" t="s">
        <v>479</v>
      </c>
      <c r="AI124" s="23"/>
      <c r="AJ124" s="23"/>
      <c r="AK124" s="23"/>
      <c r="AL124" s="23"/>
      <c r="AM124" s="23"/>
      <c r="AN124" s="23"/>
      <c r="AO124" s="23"/>
      <c r="AP124" s="23"/>
      <c r="AQ124" s="23"/>
      <c r="AR124" s="23"/>
      <c r="AS124" s="23"/>
      <c r="AT124" s="36"/>
      <c r="AU124" s="191" t="s">
        <v>185</v>
      </c>
      <c r="AV124" s="192"/>
      <c r="AW124" s="43" t="s">
        <v>248</v>
      </c>
      <c r="AX124" s="24"/>
      <c r="AY124" s="24"/>
      <c r="AZ124" s="24"/>
      <c r="BA124" s="24"/>
      <c r="BB124" s="24"/>
      <c r="BC124" s="24"/>
      <c r="BD124" s="24"/>
      <c r="BE124" s="24"/>
      <c r="BF124" s="24"/>
      <c r="BG124" s="24"/>
      <c r="BH124" s="24"/>
      <c r="BI124" s="40"/>
      <c r="BJ124" s="191"/>
      <c r="BK124" s="192"/>
      <c r="BL124" s="44" t="s">
        <v>249</v>
      </c>
      <c r="BM124" s="29"/>
      <c r="BN124" s="29"/>
      <c r="BO124" s="29"/>
      <c r="BP124" s="29"/>
      <c r="BQ124" s="29"/>
      <c r="BR124" s="29"/>
      <c r="BS124" s="29"/>
      <c r="BT124" s="29"/>
      <c r="BU124" s="29"/>
      <c r="BV124" s="29"/>
      <c r="BW124" s="29"/>
      <c r="BX124" s="30"/>
    </row>
    <row r="125" spans="1:76" ht="13.5" customHeight="1">
      <c r="A125" s="312"/>
      <c r="B125" s="297"/>
      <c r="C125" s="39" t="s">
        <v>250</v>
      </c>
      <c r="D125" s="24"/>
      <c r="E125" s="24"/>
      <c r="F125" s="24"/>
      <c r="G125" s="24"/>
      <c r="H125" s="24"/>
      <c r="I125" s="24"/>
      <c r="J125" s="24"/>
      <c r="K125" s="24"/>
      <c r="L125" s="24"/>
      <c r="M125" s="24"/>
      <c r="N125" s="24"/>
      <c r="O125" s="40"/>
      <c r="P125" s="191" t="s">
        <v>177</v>
      </c>
      <c r="Q125" s="192"/>
      <c r="R125" s="213" t="s">
        <v>251</v>
      </c>
      <c r="S125" s="339"/>
      <c r="T125" s="339"/>
      <c r="U125" s="339"/>
      <c r="V125" s="339"/>
      <c r="W125" s="339"/>
      <c r="X125" s="339"/>
      <c r="Y125" s="339"/>
      <c r="Z125" s="339"/>
      <c r="AA125" s="339"/>
      <c r="AB125" s="339"/>
      <c r="AC125" s="339"/>
      <c r="AD125" s="339"/>
      <c r="AE125" s="340"/>
      <c r="AF125" s="191"/>
      <c r="AG125" s="192"/>
      <c r="AH125" s="35" t="s">
        <v>252</v>
      </c>
      <c r="AI125" s="23"/>
      <c r="AJ125" s="23"/>
      <c r="AK125" s="23"/>
      <c r="AL125" s="23"/>
      <c r="AM125" s="23"/>
      <c r="AN125" s="23"/>
      <c r="AO125" s="23"/>
      <c r="AP125" s="23"/>
      <c r="AQ125" s="23"/>
      <c r="AR125" s="23"/>
      <c r="AS125" s="23"/>
      <c r="AT125" s="36"/>
      <c r="AU125" s="191" t="s">
        <v>177</v>
      </c>
      <c r="AV125" s="192"/>
      <c r="AW125" s="196" t="s">
        <v>253</v>
      </c>
      <c r="AX125" s="197"/>
      <c r="AY125" s="197"/>
      <c r="AZ125" s="197"/>
      <c r="BA125" s="197"/>
      <c r="BB125" s="197"/>
      <c r="BC125" s="197"/>
      <c r="BD125" s="197"/>
      <c r="BE125" s="197"/>
      <c r="BF125" s="197"/>
      <c r="BG125" s="197"/>
      <c r="BH125" s="197"/>
      <c r="BI125" s="198"/>
      <c r="BJ125" s="191"/>
      <c r="BK125" s="192"/>
      <c r="BL125" s="37" t="s">
        <v>254</v>
      </c>
      <c r="BM125" s="25"/>
      <c r="BN125" s="25"/>
      <c r="BO125" s="25"/>
      <c r="BP125" s="25"/>
      <c r="BQ125" s="25"/>
      <c r="BR125" s="25"/>
      <c r="BS125" s="25"/>
      <c r="BT125" s="25"/>
      <c r="BU125" s="25"/>
      <c r="BV125" s="38"/>
      <c r="BW125" s="191" t="s">
        <v>185</v>
      </c>
      <c r="BX125" s="192"/>
    </row>
    <row r="126" spans="1:76" ht="13.5" customHeight="1">
      <c r="A126" s="312"/>
      <c r="B126" s="297"/>
      <c r="C126" s="39" t="s">
        <v>255</v>
      </c>
      <c r="D126" s="24"/>
      <c r="E126" s="24"/>
      <c r="F126" s="24"/>
      <c r="G126" s="24"/>
      <c r="H126" s="24"/>
      <c r="I126" s="24"/>
      <c r="J126" s="24"/>
      <c r="K126" s="24"/>
      <c r="L126" s="24"/>
      <c r="M126" s="24"/>
      <c r="N126" s="24"/>
      <c r="O126" s="40"/>
      <c r="P126" s="191"/>
      <c r="Q126" s="192"/>
      <c r="R126" s="213" t="s">
        <v>256</v>
      </c>
      <c r="S126" s="339"/>
      <c r="T126" s="339"/>
      <c r="U126" s="339"/>
      <c r="V126" s="339"/>
      <c r="W126" s="339"/>
      <c r="X126" s="339"/>
      <c r="Y126" s="339"/>
      <c r="Z126" s="339"/>
      <c r="AA126" s="339"/>
      <c r="AB126" s="339"/>
      <c r="AC126" s="339"/>
      <c r="AD126" s="339"/>
      <c r="AE126" s="340"/>
      <c r="AF126" s="191"/>
      <c r="AG126" s="192"/>
      <c r="AH126" s="213" t="s">
        <v>257</v>
      </c>
      <c r="AI126" s="339"/>
      <c r="AJ126" s="339"/>
      <c r="AK126" s="339"/>
      <c r="AL126" s="339"/>
      <c r="AM126" s="339"/>
      <c r="AN126" s="339"/>
      <c r="AO126" s="339"/>
      <c r="AP126" s="339"/>
      <c r="AQ126" s="339"/>
      <c r="AR126" s="339"/>
      <c r="AS126" s="339"/>
      <c r="AT126" s="340"/>
      <c r="AU126" s="191" t="s">
        <v>185</v>
      </c>
      <c r="AV126" s="192"/>
      <c r="AW126" s="196" t="s">
        <v>258</v>
      </c>
      <c r="AX126" s="197"/>
      <c r="AY126" s="197"/>
      <c r="AZ126" s="197"/>
      <c r="BA126" s="197"/>
      <c r="BB126" s="197"/>
      <c r="BC126" s="197"/>
      <c r="BD126" s="197"/>
      <c r="BE126" s="197"/>
      <c r="BF126" s="197"/>
      <c r="BG126" s="197"/>
      <c r="BH126" s="197"/>
      <c r="BI126" s="198"/>
      <c r="BJ126" s="191" t="s">
        <v>185</v>
      </c>
      <c r="BK126" s="192"/>
      <c r="BL126" s="37" t="s">
        <v>259</v>
      </c>
      <c r="BM126" s="25"/>
      <c r="BN126" s="25"/>
      <c r="BO126" s="25"/>
      <c r="BP126" s="25"/>
      <c r="BQ126" s="25"/>
      <c r="BR126" s="25"/>
      <c r="BS126" s="25"/>
      <c r="BT126" s="25"/>
      <c r="BU126" s="25"/>
      <c r="BV126" s="38"/>
      <c r="BW126" s="191" t="s">
        <v>177</v>
      </c>
      <c r="BX126" s="192"/>
    </row>
    <row r="127" spans="1:76" ht="13.5" customHeight="1">
      <c r="A127" s="312"/>
      <c r="B127" s="297"/>
      <c r="C127" s="39" t="s">
        <v>260</v>
      </c>
      <c r="D127" s="24"/>
      <c r="E127" s="24"/>
      <c r="F127" s="24"/>
      <c r="G127" s="24"/>
      <c r="H127" s="24"/>
      <c r="I127" s="24"/>
      <c r="J127" s="24"/>
      <c r="K127" s="24"/>
      <c r="L127" s="24"/>
      <c r="M127" s="24"/>
      <c r="N127" s="24"/>
      <c r="O127" s="40"/>
      <c r="P127" s="191" t="s">
        <v>177</v>
      </c>
      <c r="Q127" s="192"/>
      <c r="R127" s="213" t="s">
        <v>261</v>
      </c>
      <c r="S127" s="339"/>
      <c r="T127" s="339"/>
      <c r="U127" s="339"/>
      <c r="V127" s="339"/>
      <c r="W127" s="339"/>
      <c r="X127" s="339"/>
      <c r="Y127" s="339"/>
      <c r="Z127" s="339"/>
      <c r="AA127" s="339"/>
      <c r="AB127" s="339"/>
      <c r="AC127" s="339"/>
      <c r="AD127" s="339"/>
      <c r="AE127" s="340"/>
      <c r="AF127" s="191" t="s">
        <v>185</v>
      </c>
      <c r="AG127" s="192"/>
      <c r="AH127" s="213" t="s">
        <v>262</v>
      </c>
      <c r="AI127" s="339"/>
      <c r="AJ127" s="339"/>
      <c r="AK127" s="339"/>
      <c r="AL127" s="339"/>
      <c r="AM127" s="339"/>
      <c r="AN127" s="339"/>
      <c r="AO127" s="339"/>
      <c r="AP127" s="339"/>
      <c r="AQ127" s="339"/>
      <c r="AR127" s="339"/>
      <c r="AS127" s="339"/>
      <c r="AT127" s="340"/>
      <c r="AU127" s="191" t="s">
        <v>177</v>
      </c>
      <c r="AV127" s="192"/>
      <c r="AW127" s="196" t="s">
        <v>263</v>
      </c>
      <c r="AX127" s="197"/>
      <c r="AY127" s="197"/>
      <c r="AZ127" s="197"/>
      <c r="BA127" s="197"/>
      <c r="BB127" s="197"/>
      <c r="BC127" s="197"/>
      <c r="BD127" s="197"/>
      <c r="BE127" s="197"/>
      <c r="BF127" s="197"/>
      <c r="BG127" s="197"/>
      <c r="BH127" s="197"/>
      <c r="BI127" s="198"/>
      <c r="BJ127" s="191" t="s">
        <v>177</v>
      </c>
      <c r="BK127" s="192"/>
      <c r="BL127" s="44" t="s">
        <v>264</v>
      </c>
      <c r="BM127" s="29"/>
      <c r="BN127" s="29"/>
      <c r="BO127" s="29"/>
      <c r="BP127" s="29"/>
      <c r="BQ127" s="29"/>
      <c r="BR127" s="29"/>
      <c r="BS127" s="29"/>
      <c r="BT127" s="29"/>
      <c r="BU127" s="29"/>
      <c r="BV127" s="29"/>
      <c r="BW127" s="29"/>
      <c r="BX127" s="30"/>
    </row>
    <row r="128" spans="1:76" ht="13.5" customHeight="1">
      <c r="A128" s="312"/>
      <c r="B128" s="297"/>
      <c r="C128" s="338" t="s">
        <v>265</v>
      </c>
      <c r="D128" s="197"/>
      <c r="E128" s="197"/>
      <c r="F128" s="197"/>
      <c r="G128" s="197"/>
      <c r="H128" s="197"/>
      <c r="I128" s="197"/>
      <c r="J128" s="197"/>
      <c r="K128" s="197"/>
      <c r="L128" s="197"/>
      <c r="M128" s="197"/>
      <c r="N128" s="197"/>
      <c r="O128" s="198"/>
      <c r="P128" s="191" t="s">
        <v>185</v>
      </c>
      <c r="Q128" s="192"/>
      <c r="R128" s="213" t="s">
        <v>266</v>
      </c>
      <c r="S128" s="339"/>
      <c r="T128" s="339"/>
      <c r="U128" s="339"/>
      <c r="V128" s="339"/>
      <c r="W128" s="339"/>
      <c r="X128" s="339"/>
      <c r="Y128" s="339"/>
      <c r="Z128" s="339"/>
      <c r="AA128" s="339"/>
      <c r="AB128" s="339"/>
      <c r="AC128" s="339"/>
      <c r="AD128" s="339"/>
      <c r="AE128" s="340"/>
      <c r="AF128" s="191" t="s">
        <v>177</v>
      </c>
      <c r="AG128" s="192"/>
      <c r="AH128" s="213" t="s">
        <v>267</v>
      </c>
      <c r="AI128" s="339"/>
      <c r="AJ128" s="339"/>
      <c r="AK128" s="339"/>
      <c r="AL128" s="339"/>
      <c r="AM128" s="339"/>
      <c r="AN128" s="339"/>
      <c r="AO128" s="339"/>
      <c r="AP128" s="339"/>
      <c r="AQ128" s="339"/>
      <c r="AR128" s="339"/>
      <c r="AS128" s="339"/>
      <c r="AT128" s="340"/>
      <c r="AU128" s="191" t="s">
        <v>177</v>
      </c>
      <c r="AV128" s="192"/>
      <c r="AW128" s="196" t="s">
        <v>268</v>
      </c>
      <c r="AX128" s="197"/>
      <c r="AY128" s="197"/>
      <c r="AZ128" s="197"/>
      <c r="BA128" s="197"/>
      <c r="BB128" s="197"/>
      <c r="BC128" s="197"/>
      <c r="BD128" s="197"/>
      <c r="BE128" s="197"/>
      <c r="BF128" s="197"/>
      <c r="BG128" s="197"/>
      <c r="BH128" s="197"/>
      <c r="BI128" s="198"/>
      <c r="BJ128" s="191" t="s">
        <v>177</v>
      </c>
      <c r="BK128" s="192"/>
      <c r="BL128" s="37" t="s">
        <v>269</v>
      </c>
      <c r="BM128" s="25"/>
      <c r="BN128" s="25"/>
      <c r="BO128" s="25"/>
      <c r="BP128" s="25"/>
      <c r="BQ128" s="25"/>
      <c r="BR128" s="25"/>
      <c r="BS128" s="25"/>
      <c r="BT128" s="25"/>
      <c r="BU128" s="25"/>
      <c r="BV128" s="38"/>
      <c r="BW128" s="191"/>
      <c r="BX128" s="192"/>
    </row>
    <row r="129" spans="1:224" ht="13.5" customHeight="1">
      <c r="A129" s="312"/>
      <c r="B129" s="297"/>
      <c r="C129" s="338"/>
      <c r="D129" s="197"/>
      <c r="E129" s="197"/>
      <c r="F129" s="197"/>
      <c r="G129" s="197"/>
      <c r="H129" s="197"/>
      <c r="I129" s="197"/>
      <c r="J129" s="197"/>
      <c r="K129" s="197"/>
      <c r="L129" s="197"/>
      <c r="M129" s="197"/>
      <c r="N129" s="197"/>
      <c r="O129" s="198"/>
      <c r="P129" s="191"/>
      <c r="Q129" s="192"/>
      <c r="R129" s="213" t="s">
        <v>270</v>
      </c>
      <c r="S129" s="339"/>
      <c r="T129" s="339"/>
      <c r="U129" s="339"/>
      <c r="V129" s="339"/>
      <c r="W129" s="339"/>
      <c r="X129" s="339"/>
      <c r="Y129" s="339"/>
      <c r="Z129" s="339"/>
      <c r="AA129" s="339"/>
      <c r="AB129" s="339"/>
      <c r="AC129" s="339"/>
      <c r="AD129" s="339"/>
      <c r="AE129" s="340"/>
      <c r="AF129" s="191" t="s">
        <v>185</v>
      </c>
      <c r="AG129" s="192"/>
      <c r="AH129" s="213" t="s">
        <v>271</v>
      </c>
      <c r="AI129" s="339"/>
      <c r="AJ129" s="339"/>
      <c r="AK129" s="339"/>
      <c r="AL129" s="339"/>
      <c r="AM129" s="339"/>
      <c r="AN129" s="339"/>
      <c r="AO129" s="339"/>
      <c r="AP129" s="339"/>
      <c r="AQ129" s="339"/>
      <c r="AR129" s="339"/>
      <c r="AS129" s="339"/>
      <c r="AT129" s="340"/>
      <c r="AU129" s="191"/>
      <c r="AV129" s="192"/>
      <c r="AW129" s="196" t="s">
        <v>272</v>
      </c>
      <c r="AX129" s="197"/>
      <c r="AY129" s="197"/>
      <c r="AZ129" s="197"/>
      <c r="BA129" s="197"/>
      <c r="BB129" s="197"/>
      <c r="BC129" s="197"/>
      <c r="BD129" s="197"/>
      <c r="BE129" s="197"/>
      <c r="BF129" s="197"/>
      <c r="BG129" s="197"/>
      <c r="BH129" s="197"/>
      <c r="BI129" s="198"/>
      <c r="BJ129" s="191"/>
      <c r="BK129" s="192"/>
      <c r="BL129" s="37" t="s">
        <v>273</v>
      </c>
      <c r="BM129" s="25"/>
      <c r="BN129" s="25"/>
      <c r="BO129" s="25"/>
      <c r="BP129" s="25"/>
      <c r="BQ129" s="25"/>
      <c r="BR129" s="25"/>
      <c r="BS129" s="25"/>
      <c r="BT129" s="25"/>
      <c r="BU129" s="25"/>
      <c r="BV129" s="38"/>
      <c r="BW129" s="191"/>
      <c r="BX129" s="192"/>
    </row>
    <row r="130" spans="1:224" ht="13.5" customHeight="1">
      <c r="A130" s="317"/>
      <c r="B130" s="318"/>
      <c r="C130" s="338"/>
      <c r="D130" s="197"/>
      <c r="E130" s="197"/>
      <c r="F130" s="197"/>
      <c r="G130" s="197"/>
      <c r="H130" s="197"/>
      <c r="I130" s="197"/>
      <c r="J130" s="197"/>
      <c r="K130" s="197"/>
      <c r="L130" s="197"/>
      <c r="M130" s="197"/>
      <c r="N130" s="197"/>
      <c r="O130" s="198"/>
      <c r="P130" s="191"/>
      <c r="Q130" s="192"/>
      <c r="R130" s="213" t="s">
        <v>274</v>
      </c>
      <c r="S130" s="339"/>
      <c r="T130" s="339"/>
      <c r="U130" s="339"/>
      <c r="V130" s="339"/>
      <c r="W130" s="339"/>
      <c r="X130" s="339"/>
      <c r="Y130" s="339"/>
      <c r="Z130" s="339"/>
      <c r="AA130" s="339"/>
      <c r="AB130" s="339"/>
      <c r="AC130" s="339"/>
      <c r="AD130" s="339"/>
      <c r="AE130" s="340"/>
      <c r="AF130" s="191"/>
      <c r="AG130" s="192"/>
      <c r="AH130" s="213" t="s">
        <v>275</v>
      </c>
      <c r="AI130" s="339"/>
      <c r="AJ130" s="339"/>
      <c r="AK130" s="339"/>
      <c r="AL130" s="339"/>
      <c r="AM130" s="339"/>
      <c r="AN130" s="339"/>
      <c r="AO130" s="339"/>
      <c r="AP130" s="339"/>
      <c r="AQ130" s="339"/>
      <c r="AR130" s="339"/>
      <c r="AS130" s="339"/>
      <c r="AT130" s="340"/>
      <c r="AU130" s="191"/>
      <c r="AV130" s="192"/>
      <c r="AW130" s="338" t="s">
        <v>501</v>
      </c>
      <c r="AX130" s="197"/>
      <c r="AY130" s="197"/>
      <c r="AZ130" s="197"/>
      <c r="BA130" s="197"/>
      <c r="BB130" s="197"/>
      <c r="BC130" s="197"/>
      <c r="BD130" s="197"/>
      <c r="BE130" s="197"/>
      <c r="BF130" s="197"/>
      <c r="BG130" s="197"/>
      <c r="BH130" s="197"/>
      <c r="BI130" s="198"/>
      <c r="BJ130" s="191" t="s">
        <v>185</v>
      </c>
      <c r="BK130" s="192"/>
      <c r="BL130" s="210" t="s">
        <v>276</v>
      </c>
      <c r="BM130" s="211"/>
      <c r="BN130" s="211"/>
      <c r="BO130" s="211"/>
      <c r="BP130" s="211"/>
      <c r="BQ130" s="211"/>
      <c r="BR130" s="211"/>
      <c r="BS130" s="211"/>
      <c r="BT130" s="211"/>
      <c r="BU130" s="211"/>
      <c r="BV130" s="212"/>
      <c r="BW130" s="191"/>
      <c r="BX130" s="192"/>
    </row>
    <row r="131" spans="1:224" ht="13.5" hidden="1" customHeight="1">
      <c r="A131" s="2" t="s">
        <v>55</v>
      </c>
      <c r="B131" s="2" t="s">
        <v>277</v>
      </c>
      <c r="C131" s="2" t="s">
        <v>278</v>
      </c>
      <c r="D131" s="2" t="s">
        <v>3</v>
      </c>
      <c r="E131" s="2" t="s">
        <v>279</v>
      </c>
      <c r="F131" s="2" t="s">
        <v>280</v>
      </c>
      <c r="G131" s="2" t="s">
        <v>281</v>
      </c>
      <c r="H131" s="2" t="s">
        <v>282</v>
      </c>
      <c r="I131" s="2" t="s">
        <v>283</v>
      </c>
      <c r="J131" s="2" t="s">
        <v>284</v>
      </c>
      <c r="K131" s="2" t="s">
        <v>285</v>
      </c>
      <c r="L131" s="2" t="s">
        <v>286</v>
      </c>
      <c r="M131" s="2" t="s">
        <v>287</v>
      </c>
      <c r="N131" s="2" t="s">
        <v>288</v>
      </c>
      <c r="O131" s="2" t="s">
        <v>289</v>
      </c>
      <c r="P131" s="2" t="s">
        <v>290</v>
      </c>
      <c r="Q131" s="2" t="s">
        <v>291</v>
      </c>
      <c r="R131" s="355" t="s">
        <v>209</v>
      </c>
      <c r="S131" s="356"/>
      <c r="T131" s="356"/>
      <c r="U131" s="356"/>
      <c r="V131" s="356"/>
      <c r="W131" s="356"/>
      <c r="X131" s="356"/>
      <c r="Y131" s="356"/>
      <c r="Z131" s="356"/>
      <c r="AA131" s="356"/>
      <c r="AB131" s="356"/>
      <c r="AC131" s="356"/>
      <c r="AD131" s="356"/>
      <c r="AE131" s="357"/>
      <c r="AF131" s="358"/>
      <c r="AG131" s="359"/>
      <c r="AH131" s="20" t="s">
        <v>292</v>
      </c>
      <c r="AI131" s="21"/>
      <c r="AJ131" s="21"/>
      <c r="AK131" s="21"/>
      <c r="AL131" s="21"/>
      <c r="AM131" s="21"/>
      <c r="AN131" s="21"/>
      <c r="AO131" s="21"/>
      <c r="AP131" s="21"/>
      <c r="AQ131" s="21"/>
      <c r="AR131" s="21"/>
      <c r="AS131" s="21"/>
      <c r="AT131" s="22"/>
      <c r="AU131" s="360"/>
      <c r="AV131" s="361"/>
      <c r="HP131" s="1"/>
    </row>
    <row r="132" spans="1:224" ht="13.5" hidden="1" customHeight="1">
      <c r="R132" s="2" t="s">
        <v>293</v>
      </c>
      <c r="S132" s="2" t="s">
        <v>294</v>
      </c>
      <c r="T132" s="2" t="s">
        <v>295</v>
      </c>
      <c r="U132" s="2" t="s">
        <v>296</v>
      </c>
      <c r="V132" s="2" t="s">
        <v>297</v>
      </c>
      <c r="W132" s="2" t="s">
        <v>298</v>
      </c>
      <c r="X132" s="2" t="s">
        <v>299</v>
      </c>
      <c r="Y132" s="2" t="s">
        <v>300</v>
      </c>
      <c r="Z132" s="2" t="s">
        <v>301</v>
      </c>
      <c r="AA132" s="2" t="s">
        <v>302</v>
      </c>
      <c r="AB132" s="2" t="s">
        <v>303</v>
      </c>
      <c r="AC132" s="2" t="s">
        <v>304</v>
      </c>
      <c r="HP132" s="1"/>
    </row>
    <row r="133" spans="1:224" ht="13.5" hidden="1" customHeight="1">
      <c r="A133" s="2" t="s">
        <v>32</v>
      </c>
      <c r="B133" s="2" t="s">
        <v>32</v>
      </c>
      <c r="C133" s="2" t="s">
        <v>305</v>
      </c>
      <c r="D133" s="2" t="s">
        <v>11</v>
      </c>
      <c r="E133" s="2" t="s">
        <v>306</v>
      </c>
      <c r="F133" s="2" t="s">
        <v>307</v>
      </c>
      <c r="G133" s="2" t="s">
        <v>306</v>
      </c>
      <c r="H133" s="2" t="s">
        <v>308</v>
      </c>
      <c r="I133" s="2" t="s">
        <v>76</v>
      </c>
      <c r="J133" s="2" t="s">
        <v>180</v>
      </c>
      <c r="K133" s="2" t="s">
        <v>309</v>
      </c>
      <c r="L133" s="2" t="s">
        <v>310</v>
      </c>
      <c r="M133" s="2" t="s">
        <v>311</v>
      </c>
      <c r="N133" s="2" t="s">
        <v>185</v>
      </c>
      <c r="O133" s="2" t="s">
        <v>312</v>
      </c>
      <c r="P133" s="2" t="s">
        <v>313</v>
      </c>
      <c r="Q133" s="2" t="s">
        <v>247</v>
      </c>
      <c r="BL133" s="5"/>
      <c r="HP133" s="1"/>
    </row>
    <row r="134" spans="1:224" ht="13.5" hidden="1" customHeight="1">
      <c r="A134" s="2" t="s">
        <v>314</v>
      </c>
      <c r="B134" s="2" t="s">
        <v>315</v>
      </c>
      <c r="C134" s="2" t="s">
        <v>316</v>
      </c>
      <c r="D134" s="2" t="s">
        <v>317</v>
      </c>
      <c r="E134" s="2" t="s">
        <v>307</v>
      </c>
      <c r="F134" s="2" t="s">
        <v>318</v>
      </c>
      <c r="G134" s="2" t="s">
        <v>307</v>
      </c>
      <c r="H134" s="2" t="s">
        <v>319</v>
      </c>
      <c r="I134" s="2" t="s">
        <v>107</v>
      </c>
      <c r="J134" s="2" t="s">
        <v>320</v>
      </c>
      <c r="K134" s="2" t="s">
        <v>236</v>
      </c>
      <c r="L134" s="2" t="s">
        <v>321</v>
      </c>
      <c r="M134" s="2" t="s">
        <v>322</v>
      </c>
      <c r="N134" s="2" t="s">
        <v>323</v>
      </c>
      <c r="O134" s="2" t="s">
        <v>324</v>
      </c>
      <c r="P134" s="2" t="s">
        <v>147</v>
      </c>
      <c r="Q134" s="2" t="s">
        <v>252</v>
      </c>
      <c r="R134" s="2" t="s">
        <v>325</v>
      </c>
      <c r="S134" s="2" t="s">
        <v>326</v>
      </c>
      <c r="T134" s="2" t="s">
        <v>327</v>
      </c>
      <c r="U134" s="2" t="s">
        <v>328</v>
      </c>
      <c r="V134" s="2" t="s">
        <v>239</v>
      </c>
      <c r="W134" s="2" t="s">
        <v>329</v>
      </c>
      <c r="X134" s="2" t="s">
        <v>330</v>
      </c>
      <c r="Y134" s="2" t="s">
        <v>331</v>
      </c>
      <c r="Z134" s="2" t="s">
        <v>332</v>
      </c>
      <c r="AA134" s="2" t="s">
        <v>254</v>
      </c>
      <c r="AB134" s="2" t="s">
        <v>269</v>
      </c>
      <c r="AC134" s="2" t="s">
        <v>84</v>
      </c>
      <c r="HP134" s="1"/>
    </row>
    <row r="135" spans="1:224" ht="13.5" hidden="1" customHeight="1">
      <c r="A135" s="2" t="s">
        <v>333</v>
      </c>
      <c r="B135" s="2" t="s">
        <v>333</v>
      </c>
      <c r="C135" s="2" t="s">
        <v>334</v>
      </c>
      <c r="F135" s="2" t="s">
        <v>335</v>
      </c>
      <c r="H135" s="2" t="s">
        <v>336</v>
      </c>
      <c r="I135" s="2" t="s">
        <v>134</v>
      </c>
      <c r="J135" s="2" t="s">
        <v>48</v>
      </c>
      <c r="K135" s="2" t="s">
        <v>337</v>
      </c>
      <c r="L135" s="2" t="s">
        <v>338</v>
      </c>
      <c r="N135" s="2" t="s">
        <v>339</v>
      </c>
      <c r="O135" s="2" t="s">
        <v>340</v>
      </c>
      <c r="P135" s="2" t="s">
        <v>341</v>
      </c>
      <c r="Q135" s="2" t="s">
        <v>292</v>
      </c>
      <c r="R135" s="2" t="s">
        <v>187</v>
      </c>
      <c r="S135" s="2" t="s">
        <v>342</v>
      </c>
      <c r="T135" s="2" t="s">
        <v>227</v>
      </c>
      <c r="V135" s="2" t="s">
        <v>243</v>
      </c>
      <c r="W135" s="2" t="s">
        <v>343</v>
      </c>
      <c r="X135" s="2" t="s">
        <v>344</v>
      </c>
      <c r="Y135" s="2" t="s">
        <v>345</v>
      </c>
      <c r="Z135" s="2" t="s">
        <v>240</v>
      </c>
      <c r="AA135" s="2" t="s">
        <v>346</v>
      </c>
      <c r="AB135" s="2" t="s">
        <v>273</v>
      </c>
      <c r="AC135" s="2" t="s">
        <v>156</v>
      </c>
      <c r="HP135" s="1"/>
    </row>
    <row r="136" spans="1:224" ht="13.5" hidden="1" customHeight="1">
      <c r="A136" s="2" t="s">
        <v>120</v>
      </c>
      <c r="B136" s="2" t="s">
        <v>120</v>
      </c>
      <c r="C136" s="2" t="s">
        <v>347</v>
      </c>
      <c r="F136" s="2" t="s">
        <v>348</v>
      </c>
      <c r="H136" s="2" t="s">
        <v>349</v>
      </c>
      <c r="I136" s="2" t="s">
        <v>350</v>
      </c>
      <c r="J136" s="2" t="s">
        <v>49</v>
      </c>
      <c r="K136" s="2" t="s">
        <v>245</v>
      </c>
      <c r="L136" s="2" t="s">
        <v>351</v>
      </c>
      <c r="N136" s="2" t="s">
        <v>352</v>
      </c>
      <c r="P136" s="2" t="s">
        <v>353</v>
      </c>
      <c r="Q136" s="2" t="s">
        <v>257</v>
      </c>
      <c r="S136" s="2" t="s">
        <v>205</v>
      </c>
      <c r="T136" s="2" t="s">
        <v>231</v>
      </c>
      <c r="V136" s="2" t="s">
        <v>354</v>
      </c>
      <c r="W136" s="2" t="s">
        <v>355</v>
      </c>
      <c r="X136" s="2" t="s">
        <v>356</v>
      </c>
      <c r="Y136" s="2" t="s">
        <v>357</v>
      </c>
      <c r="Z136" s="2" t="s">
        <v>244</v>
      </c>
      <c r="AA136" s="2" t="s">
        <v>358</v>
      </c>
      <c r="AC136" s="2" t="s">
        <v>359</v>
      </c>
      <c r="HP136" s="1"/>
    </row>
    <row r="137" spans="1:224" ht="13.5" hidden="1" customHeight="1">
      <c r="A137" s="2" t="s">
        <v>85</v>
      </c>
      <c r="B137" s="2" t="s">
        <v>85</v>
      </c>
      <c r="C137" s="2" t="s">
        <v>360</v>
      </c>
      <c r="H137" s="2" t="s">
        <v>361</v>
      </c>
      <c r="I137" s="2" t="s">
        <v>362</v>
      </c>
      <c r="J137" s="2" t="s">
        <v>363</v>
      </c>
      <c r="K137" s="2" t="s">
        <v>250</v>
      </c>
      <c r="L137" s="2" t="s">
        <v>364</v>
      </c>
      <c r="P137" s="2" t="s">
        <v>365</v>
      </c>
      <c r="Q137" s="2" t="s">
        <v>366</v>
      </c>
      <c r="S137" s="2" t="s">
        <v>210</v>
      </c>
      <c r="T137" s="2" t="s">
        <v>234</v>
      </c>
      <c r="V137" s="2" t="s">
        <v>367</v>
      </c>
      <c r="X137" s="2" t="s">
        <v>368</v>
      </c>
      <c r="Y137" s="2" t="s">
        <v>369</v>
      </c>
      <c r="Z137" s="2" t="s">
        <v>370</v>
      </c>
      <c r="AA137" s="2" t="s">
        <v>371</v>
      </c>
      <c r="AC137" s="2" t="s">
        <v>372</v>
      </c>
      <c r="HP137" s="1"/>
    </row>
    <row r="138" spans="1:224" ht="13.5" hidden="1" customHeight="1">
      <c r="A138" s="2" t="s">
        <v>161</v>
      </c>
      <c r="B138" s="2" t="s">
        <v>161</v>
      </c>
      <c r="C138" s="2" t="s">
        <v>373</v>
      </c>
      <c r="J138" s="2" t="s">
        <v>374</v>
      </c>
      <c r="K138" s="2" t="s">
        <v>375</v>
      </c>
      <c r="P138" s="2" t="s">
        <v>376</v>
      </c>
      <c r="Q138" s="2" t="s">
        <v>377</v>
      </c>
      <c r="S138" s="2" t="s">
        <v>214</v>
      </c>
      <c r="V138" s="2" t="s">
        <v>378</v>
      </c>
      <c r="Y138" s="2" t="s">
        <v>379</v>
      </c>
      <c r="AA138" s="2" t="s">
        <v>380</v>
      </c>
      <c r="AC138" s="2" t="s">
        <v>381</v>
      </c>
      <c r="HP138" s="1"/>
    </row>
    <row r="139" spans="1:224" ht="13.5" hidden="1" customHeight="1">
      <c r="A139" s="2" t="s">
        <v>35</v>
      </c>
      <c r="B139" s="2" t="s">
        <v>35</v>
      </c>
      <c r="C139" s="2" t="s">
        <v>382</v>
      </c>
      <c r="J139" s="2" t="s">
        <v>383</v>
      </c>
      <c r="K139" s="2" t="s">
        <v>384</v>
      </c>
      <c r="P139" s="2" t="s">
        <v>385</v>
      </c>
      <c r="Q139" s="2" t="s">
        <v>386</v>
      </c>
      <c r="S139" s="2" t="s">
        <v>387</v>
      </c>
      <c r="V139" s="2" t="s">
        <v>388</v>
      </c>
      <c r="Y139" s="2" t="s">
        <v>389</v>
      </c>
      <c r="AA139" s="2" t="s">
        <v>259</v>
      </c>
      <c r="AC139" s="2" t="s">
        <v>390</v>
      </c>
      <c r="HP139" s="1"/>
    </row>
    <row r="140" spans="1:224" ht="13.5" hidden="1" customHeight="1">
      <c r="A140" s="2" t="s">
        <v>391</v>
      </c>
      <c r="B140" s="2" t="s">
        <v>391</v>
      </c>
      <c r="C140" s="2" t="s">
        <v>392</v>
      </c>
      <c r="J140" s="2" t="s">
        <v>393</v>
      </c>
      <c r="P140" s="2" t="s">
        <v>394</v>
      </c>
      <c r="Q140" s="2" t="s">
        <v>395</v>
      </c>
      <c r="Y140" s="2" t="s">
        <v>396</v>
      </c>
      <c r="AA140" s="2" t="s">
        <v>397</v>
      </c>
      <c r="AC140" s="2" t="s">
        <v>68</v>
      </c>
      <c r="HP140" s="1"/>
    </row>
    <row r="141" spans="1:224" ht="13.5" hidden="1" customHeight="1">
      <c r="A141" s="2" t="s">
        <v>398</v>
      </c>
      <c r="B141" s="2" t="s">
        <v>398</v>
      </c>
      <c r="C141" s="2" t="s">
        <v>399</v>
      </c>
      <c r="J141" s="2" t="s">
        <v>400</v>
      </c>
      <c r="P141" s="2" t="s">
        <v>401</v>
      </c>
      <c r="Y141" s="2" t="s">
        <v>402</v>
      </c>
      <c r="AA141" s="2" t="s">
        <v>403</v>
      </c>
      <c r="AC141" s="2" t="s">
        <v>404</v>
      </c>
      <c r="HP141" s="1"/>
    </row>
    <row r="142" spans="1:224" ht="13.5" hidden="1" customHeight="1">
      <c r="A142" s="2" t="s">
        <v>405</v>
      </c>
      <c r="B142" s="2" t="s">
        <v>405</v>
      </c>
      <c r="C142" s="2" t="s">
        <v>406</v>
      </c>
      <c r="J142" s="2" t="s">
        <v>407</v>
      </c>
      <c r="P142" s="2" t="s">
        <v>408</v>
      </c>
      <c r="AA142" s="2" t="s">
        <v>409</v>
      </c>
      <c r="AC142" s="2" t="s">
        <v>410</v>
      </c>
      <c r="HP142" s="1"/>
    </row>
    <row r="143" spans="1:224" ht="13.5" hidden="1" customHeight="1">
      <c r="A143" s="2" t="s">
        <v>38</v>
      </c>
      <c r="B143" s="2" t="s">
        <v>38</v>
      </c>
      <c r="C143" s="2" t="s">
        <v>411</v>
      </c>
      <c r="J143" s="2" t="s">
        <v>412</v>
      </c>
      <c r="P143" s="2" t="s">
        <v>413</v>
      </c>
      <c r="AA143" s="2" t="s">
        <v>414</v>
      </c>
      <c r="AC143" s="2" t="s">
        <v>138</v>
      </c>
      <c r="HP143" s="1"/>
    </row>
    <row r="144" spans="1:224" ht="13.5" hidden="1" customHeight="1">
      <c r="A144" s="2" t="s">
        <v>415</v>
      </c>
      <c r="B144" s="2" t="s">
        <v>415</v>
      </c>
      <c r="C144" s="2" t="s">
        <v>416</v>
      </c>
      <c r="P144" s="2" t="s">
        <v>417</v>
      </c>
      <c r="AC144" s="2" t="s">
        <v>93</v>
      </c>
      <c r="HP144" s="1"/>
    </row>
    <row r="145" spans="2:224" ht="13.5" hidden="1" customHeight="1">
      <c r="B145" s="2" t="s">
        <v>418</v>
      </c>
      <c r="C145" s="2" t="s">
        <v>419</v>
      </c>
      <c r="P145" s="2" t="s">
        <v>420</v>
      </c>
      <c r="AC145" s="2" t="s">
        <v>421</v>
      </c>
      <c r="HP145" s="1"/>
    </row>
    <row r="146" spans="2:224" ht="13.5" hidden="1" customHeight="1">
      <c r="B146" s="2" t="s">
        <v>422</v>
      </c>
      <c r="C146" s="2" t="s">
        <v>423</v>
      </c>
      <c r="AC146" s="2" t="s">
        <v>424</v>
      </c>
      <c r="HP146" s="1"/>
    </row>
    <row r="147" spans="2:224" ht="13.5" hidden="1" customHeight="1">
      <c r="B147" s="2" t="s">
        <v>425</v>
      </c>
      <c r="C147" s="2" t="s">
        <v>426</v>
      </c>
      <c r="HP147" s="1"/>
    </row>
    <row r="148" spans="2:224" ht="13.5" hidden="1" customHeight="1">
      <c r="B148" s="2" t="s">
        <v>427</v>
      </c>
      <c r="C148" s="2" t="s">
        <v>428</v>
      </c>
      <c r="HP148" s="1"/>
    </row>
    <row r="149" spans="2:224" ht="13.5" hidden="1" customHeight="1">
      <c r="B149" s="2" t="s">
        <v>429</v>
      </c>
      <c r="C149" s="2" t="s">
        <v>430</v>
      </c>
      <c r="HP149" s="1"/>
    </row>
    <row r="150" spans="2:224" ht="13.5" hidden="1" customHeight="1">
      <c r="B150" s="2" t="s">
        <v>431</v>
      </c>
      <c r="C150" s="2" t="s">
        <v>432</v>
      </c>
      <c r="HP150" s="1"/>
    </row>
    <row r="151" spans="2:224" ht="13.5" hidden="1" customHeight="1">
      <c r="B151" s="2" t="s">
        <v>433</v>
      </c>
      <c r="C151" s="2" t="s">
        <v>434</v>
      </c>
    </row>
    <row r="152" spans="2:224" ht="13.5" hidden="1" customHeight="1">
      <c r="B152" s="2" t="s">
        <v>334</v>
      </c>
      <c r="C152" s="2" t="s">
        <v>435</v>
      </c>
    </row>
    <row r="153" spans="2:224" ht="13.5" hidden="1" customHeight="1">
      <c r="B153" s="2" t="s">
        <v>347</v>
      </c>
      <c r="C153" s="2" t="s">
        <v>436</v>
      </c>
    </row>
    <row r="154" spans="2:224" ht="13.5" hidden="1" customHeight="1">
      <c r="B154" s="2" t="s">
        <v>360</v>
      </c>
      <c r="C154" s="2" t="s">
        <v>9</v>
      </c>
    </row>
    <row r="155" spans="2:224" ht="13.5" hidden="1" customHeight="1">
      <c r="B155" s="2" t="s">
        <v>373</v>
      </c>
      <c r="C155" s="2" t="s">
        <v>437</v>
      </c>
    </row>
    <row r="156" spans="2:224" ht="13.5" hidden="1" customHeight="1">
      <c r="B156" s="2" t="s">
        <v>382</v>
      </c>
      <c r="C156" s="2" t="s">
        <v>438</v>
      </c>
    </row>
    <row r="157" spans="2:224" ht="13.5" hidden="1" customHeight="1">
      <c r="B157" s="2" t="s">
        <v>392</v>
      </c>
      <c r="C157" s="2" t="s">
        <v>439</v>
      </c>
    </row>
    <row r="158" spans="2:224" ht="13.5" hidden="1" customHeight="1">
      <c r="B158" s="2" t="s">
        <v>399</v>
      </c>
      <c r="C158" s="2" t="s">
        <v>440</v>
      </c>
    </row>
    <row r="159" spans="2:224" ht="13.5" hidden="1" customHeight="1">
      <c r="B159" s="2" t="s">
        <v>406</v>
      </c>
      <c r="C159" s="2" t="s">
        <v>441</v>
      </c>
    </row>
    <row r="160" spans="2:224" ht="13.5" hidden="1" customHeight="1">
      <c r="B160" s="2" t="s">
        <v>411</v>
      </c>
      <c r="C160" s="2" t="s">
        <v>442</v>
      </c>
    </row>
    <row r="161" spans="2:3" ht="13.5" hidden="1" customHeight="1">
      <c r="B161" s="2" t="s">
        <v>416</v>
      </c>
      <c r="C161" s="2" t="s">
        <v>443</v>
      </c>
    </row>
    <row r="162" spans="2:3" ht="13.5" hidden="1" customHeight="1">
      <c r="B162" s="2" t="s">
        <v>419</v>
      </c>
      <c r="C162" s="2" t="s">
        <v>444</v>
      </c>
    </row>
    <row r="163" spans="2:3" ht="13.5" hidden="1" customHeight="1">
      <c r="B163" s="2" t="s">
        <v>423</v>
      </c>
      <c r="C163" s="2" t="s">
        <v>445</v>
      </c>
    </row>
    <row r="164" spans="2:3" ht="13.5" hidden="1" customHeight="1">
      <c r="C164" s="2" t="s">
        <v>446</v>
      </c>
    </row>
    <row r="165" spans="2:3" ht="13.5" hidden="1" customHeight="1">
      <c r="C165" s="2" t="s">
        <v>447</v>
      </c>
    </row>
    <row r="166" spans="2:3" ht="13.5" hidden="1" customHeight="1">
      <c r="C166" s="2" t="s">
        <v>448</v>
      </c>
    </row>
    <row r="167" spans="2:3" ht="13.5" hidden="1" customHeight="1">
      <c r="C167" s="2" t="s">
        <v>449</v>
      </c>
    </row>
    <row r="168" spans="2:3" ht="13.5" hidden="1" customHeight="1">
      <c r="C168" s="2" t="s">
        <v>450</v>
      </c>
    </row>
    <row r="169" spans="2:3" ht="13.5" hidden="1" customHeight="1">
      <c r="C169" s="2" t="s">
        <v>451</v>
      </c>
    </row>
    <row r="170" spans="2:3" ht="13.5" hidden="1" customHeight="1">
      <c r="C170" s="2" t="s">
        <v>452</v>
      </c>
    </row>
    <row r="171" spans="2:3" ht="13.5" hidden="1" customHeight="1">
      <c r="C171" s="2" t="s">
        <v>453</v>
      </c>
    </row>
    <row r="172" spans="2:3" ht="13.5" hidden="1" customHeight="1">
      <c r="C172" s="2" t="s">
        <v>454</v>
      </c>
    </row>
    <row r="173" spans="2:3" ht="13.5" hidden="1" customHeight="1">
      <c r="C173" s="2" t="s">
        <v>455</v>
      </c>
    </row>
    <row r="174" spans="2:3" ht="13.5" hidden="1" customHeight="1">
      <c r="C174" s="2" t="s">
        <v>456</v>
      </c>
    </row>
    <row r="175" spans="2:3" ht="13.5" hidden="1" customHeight="1">
      <c r="C175" s="2" t="s">
        <v>457</v>
      </c>
    </row>
    <row r="176" spans="2:3" ht="13.5" hidden="1" customHeight="1">
      <c r="C176" s="2" t="s">
        <v>458</v>
      </c>
    </row>
    <row r="177" spans="3:3" ht="13.5" hidden="1" customHeight="1">
      <c r="C177" s="2" t="s">
        <v>459</v>
      </c>
    </row>
    <row r="178" spans="3:3" ht="13.5" hidden="1" customHeight="1">
      <c r="C178" s="2" t="s">
        <v>460</v>
      </c>
    </row>
    <row r="179" spans="3:3" ht="13.5" hidden="1" customHeight="1">
      <c r="C179" s="2" t="s">
        <v>461</v>
      </c>
    </row>
    <row r="180" spans="3:3" ht="13.5" hidden="1" customHeight="1">
      <c r="C180" s="2" t="s">
        <v>462</v>
      </c>
    </row>
    <row r="181" spans="3:3" ht="13.5" hidden="1" customHeight="1">
      <c r="C181" s="2" t="s">
        <v>463</v>
      </c>
    </row>
    <row r="182" spans="3:3" ht="13.5" hidden="1" customHeight="1">
      <c r="C182" s="2" t="s">
        <v>464</v>
      </c>
    </row>
    <row r="183" spans="3:3" ht="13.5" hidden="1" customHeight="1">
      <c r="C183" s="2" t="s">
        <v>465</v>
      </c>
    </row>
    <row r="184" spans="3:3" ht="13.5" hidden="1" customHeight="1">
      <c r="C184" s="2" t="s">
        <v>466</v>
      </c>
    </row>
    <row r="185" spans="3:3" ht="13.5" hidden="1" customHeight="1">
      <c r="C185" s="2" t="s">
        <v>467</v>
      </c>
    </row>
    <row r="186" spans="3:3" ht="13.5" hidden="1" customHeight="1"/>
    <row r="187" spans="3:3" ht="13.5" hidden="1" customHeight="1"/>
    <row r="188" spans="3:3" ht="13.5" hidden="1" customHeight="1"/>
    <row r="189" spans="3:3" ht="13.5" hidden="1" customHeight="1"/>
    <row r="190" spans="3:3" ht="13.5" hidden="1" customHeight="1"/>
    <row r="191" spans="3:3" ht="13.5" hidden="1" customHeight="1"/>
    <row r="192" spans="3:3" ht="13.5" hidden="1" customHeight="1"/>
    <row r="193" ht="13.5" hidden="1" customHeight="1"/>
    <row r="194" ht="13.5" hidden="1" customHeight="1"/>
    <row r="195" ht="13.5" hidden="1" customHeight="1"/>
    <row r="196" ht="13.5" hidden="1" customHeight="1"/>
    <row r="197" ht="13.5" hidden="1" customHeight="1"/>
    <row r="198" ht="13.5" hidden="1" customHeight="1"/>
    <row r="199" ht="13.5" hidden="1" customHeight="1"/>
    <row r="200" ht="13.5" hidden="1" customHeight="1"/>
    <row r="201" ht="13.5" hidden="1" customHeight="1"/>
    <row r="202" ht="13.5" hidden="1" customHeight="1"/>
    <row r="203" ht="13.5" hidden="1" customHeight="1"/>
    <row r="204" ht="13.5" hidden="1" customHeight="1"/>
    <row r="205" ht="13.5" hidden="1" customHeight="1"/>
    <row r="206" ht="13.5" hidden="1" customHeight="1"/>
    <row r="207" ht="13.5" hidden="1" customHeight="1"/>
    <row r="208" ht="13.5" hidden="1" customHeight="1"/>
    <row r="209" spans="1:76" ht="13.5" hidden="1" customHeight="1"/>
    <row r="210" spans="1:76" ht="13.5" hidden="1" customHeight="1"/>
    <row r="211" spans="1:76" ht="13.5" hidden="1" customHeight="1"/>
    <row r="212" spans="1:76" ht="13.5" hidden="1" customHeight="1"/>
    <row r="213" spans="1:76" ht="13.5" hidden="1" customHeight="1"/>
    <row r="216" spans="1:76" ht="13.5" customHeight="1">
      <c r="A216" s="2" t="s">
        <v>500</v>
      </c>
    </row>
    <row r="217" spans="1:76" ht="13.5" customHeight="1">
      <c r="B217" s="50" t="s">
        <v>519</v>
      </c>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c r="AC217" s="50"/>
      <c r="AD217" s="50"/>
      <c r="AE217" s="50"/>
      <c r="AF217" s="50"/>
      <c r="AG217" s="50"/>
      <c r="AH217" s="50"/>
      <c r="AI217" s="50"/>
      <c r="AJ217" s="50"/>
      <c r="AK217" s="50"/>
      <c r="AL217" s="50"/>
      <c r="AM217" s="50"/>
      <c r="AN217" s="50"/>
      <c r="AO217" s="50"/>
      <c r="AP217" s="50"/>
      <c r="AQ217" s="50"/>
      <c r="AR217" s="50"/>
      <c r="AS217" s="50"/>
      <c r="AT217" s="50"/>
      <c r="AU217" s="50"/>
      <c r="AV217" s="50"/>
      <c r="AW217" s="50"/>
      <c r="AX217" s="50"/>
      <c r="AY217" s="50"/>
      <c r="AZ217" s="50"/>
      <c r="BA217" s="50"/>
      <c r="BB217" s="50"/>
      <c r="BC217" s="50"/>
      <c r="BD217" s="50"/>
      <c r="BE217" s="50"/>
      <c r="BF217" s="50"/>
      <c r="BG217" s="50"/>
      <c r="BH217" s="50"/>
      <c r="BI217" s="50"/>
      <c r="BJ217" s="50"/>
      <c r="BK217" s="50"/>
      <c r="BL217" s="50"/>
      <c r="BM217" s="50"/>
      <c r="BN217" s="50"/>
      <c r="BO217" s="50"/>
      <c r="BP217" s="50"/>
      <c r="BQ217" s="50"/>
      <c r="BR217" s="50"/>
      <c r="BS217" s="50"/>
      <c r="BT217" s="50"/>
      <c r="BU217" s="50"/>
      <c r="BV217" s="50"/>
      <c r="BW217" s="50"/>
      <c r="BX217" s="45"/>
    </row>
    <row r="218" spans="1:76" ht="13.5" customHeight="1">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c r="AA218" s="50"/>
      <c r="AB218" s="50"/>
      <c r="AC218" s="50"/>
      <c r="AD218" s="50"/>
      <c r="AE218" s="50"/>
      <c r="AF218" s="50"/>
      <c r="AG218" s="50"/>
      <c r="AH218" s="50"/>
      <c r="AI218" s="50"/>
      <c r="AJ218" s="50"/>
      <c r="AK218" s="50"/>
      <c r="AL218" s="50"/>
      <c r="AM218" s="50"/>
      <c r="AN218" s="50"/>
      <c r="AO218" s="50"/>
      <c r="AP218" s="50"/>
      <c r="AQ218" s="50"/>
      <c r="AR218" s="50"/>
      <c r="AS218" s="50"/>
      <c r="AT218" s="50"/>
      <c r="AU218" s="50"/>
      <c r="AV218" s="50"/>
      <c r="AW218" s="50"/>
      <c r="AX218" s="50"/>
      <c r="AY218" s="50"/>
      <c r="AZ218" s="50"/>
      <c r="BA218" s="50"/>
      <c r="BB218" s="50"/>
      <c r="BC218" s="50"/>
      <c r="BD218" s="50"/>
      <c r="BE218" s="50"/>
      <c r="BF218" s="50"/>
      <c r="BG218" s="50"/>
      <c r="BH218" s="50"/>
      <c r="BI218" s="50"/>
      <c r="BJ218" s="50"/>
      <c r="BK218" s="50"/>
      <c r="BL218" s="50"/>
      <c r="BM218" s="50"/>
      <c r="BN218" s="50"/>
      <c r="BO218" s="50"/>
      <c r="BP218" s="50"/>
      <c r="BQ218" s="50"/>
      <c r="BR218" s="50"/>
      <c r="BS218" s="50"/>
      <c r="BT218" s="50"/>
      <c r="BU218" s="50"/>
      <c r="BV218" s="50"/>
      <c r="BW218" s="50"/>
      <c r="BX218" s="45"/>
    </row>
    <row r="219" spans="1:76" ht="13.5" customHeight="1">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c r="AC219" s="50"/>
      <c r="AD219" s="50"/>
      <c r="AE219" s="50"/>
      <c r="AF219" s="50"/>
      <c r="AG219" s="50"/>
      <c r="AH219" s="50"/>
      <c r="AI219" s="50"/>
      <c r="AJ219" s="50"/>
      <c r="AK219" s="50"/>
      <c r="AL219" s="50"/>
      <c r="AM219" s="50"/>
      <c r="AN219" s="50"/>
      <c r="AO219" s="50"/>
      <c r="AP219" s="50"/>
      <c r="AQ219" s="50"/>
      <c r="AR219" s="50"/>
      <c r="AS219" s="50"/>
      <c r="AT219" s="50"/>
      <c r="AU219" s="50"/>
      <c r="AV219" s="50"/>
      <c r="AW219" s="50"/>
      <c r="AX219" s="50"/>
      <c r="AY219" s="50"/>
      <c r="AZ219" s="50"/>
      <c r="BA219" s="50"/>
      <c r="BB219" s="50"/>
      <c r="BC219" s="50"/>
      <c r="BD219" s="50"/>
      <c r="BE219" s="50"/>
      <c r="BF219" s="50"/>
      <c r="BG219" s="50"/>
      <c r="BH219" s="50"/>
      <c r="BI219" s="50"/>
      <c r="BJ219" s="50"/>
      <c r="BK219" s="50"/>
      <c r="BL219" s="50"/>
      <c r="BM219" s="50"/>
      <c r="BN219" s="50"/>
      <c r="BO219" s="50"/>
      <c r="BP219" s="50"/>
      <c r="BQ219" s="50"/>
      <c r="BR219" s="50"/>
      <c r="BS219" s="50"/>
      <c r="BT219" s="50"/>
      <c r="BU219" s="50"/>
      <c r="BV219" s="50"/>
      <c r="BW219" s="50"/>
      <c r="BX219" s="45"/>
    </row>
    <row r="220" spans="1:76" ht="13.5" customHeight="1">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c r="AA220" s="50"/>
      <c r="AB220" s="50"/>
      <c r="AC220" s="50"/>
      <c r="AD220" s="50"/>
      <c r="AE220" s="50"/>
      <c r="AF220" s="50"/>
      <c r="AG220" s="50"/>
      <c r="AH220" s="50"/>
      <c r="AI220" s="50"/>
      <c r="AJ220" s="50"/>
      <c r="AK220" s="50"/>
      <c r="AL220" s="50"/>
      <c r="AM220" s="50"/>
      <c r="AN220" s="50"/>
      <c r="AO220" s="50"/>
      <c r="AP220" s="50"/>
      <c r="AQ220" s="50"/>
      <c r="AR220" s="50"/>
      <c r="AS220" s="50"/>
      <c r="AT220" s="50"/>
      <c r="AU220" s="50"/>
      <c r="AV220" s="50"/>
      <c r="AW220" s="50"/>
      <c r="AX220" s="50"/>
      <c r="AY220" s="50"/>
      <c r="AZ220" s="50"/>
      <c r="BA220" s="50"/>
      <c r="BB220" s="50"/>
      <c r="BC220" s="50"/>
      <c r="BD220" s="50"/>
      <c r="BE220" s="50"/>
      <c r="BF220" s="50"/>
      <c r="BG220" s="50"/>
      <c r="BH220" s="50"/>
      <c r="BI220" s="50"/>
      <c r="BJ220" s="50"/>
      <c r="BK220" s="50"/>
      <c r="BL220" s="50"/>
      <c r="BM220" s="50"/>
      <c r="BN220" s="50"/>
      <c r="BO220" s="50"/>
      <c r="BP220" s="50"/>
      <c r="BQ220" s="50"/>
      <c r="BR220" s="50"/>
      <c r="BS220" s="50"/>
      <c r="BT220" s="50"/>
      <c r="BU220" s="50"/>
      <c r="BV220" s="50"/>
      <c r="BW220" s="50"/>
      <c r="BX220" s="45"/>
    </row>
    <row r="221" spans="1:76" ht="13.5" customHeight="1">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c r="AA221" s="50"/>
      <c r="AB221" s="50"/>
      <c r="AC221" s="50"/>
      <c r="AD221" s="50"/>
      <c r="AE221" s="50"/>
      <c r="AF221" s="50"/>
      <c r="AG221" s="50"/>
      <c r="AH221" s="50"/>
      <c r="AI221" s="50"/>
      <c r="AJ221" s="50"/>
      <c r="AK221" s="50"/>
      <c r="AL221" s="50"/>
      <c r="AM221" s="50"/>
      <c r="AN221" s="50"/>
      <c r="AO221" s="50"/>
      <c r="AP221" s="50"/>
      <c r="AQ221" s="50"/>
      <c r="AR221" s="50"/>
      <c r="AS221" s="50"/>
      <c r="AT221" s="50"/>
      <c r="AU221" s="50"/>
      <c r="AV221" s="50"/>
      <c r="AW221" s="50"/>
      <c r="AX221" s="50"/>
      <c r="AY221" s="50"/>
      <c r="AZ221" s="50"/>
      <c r="BA221" s="50"/>
      <c r="BB221" s="50"/>
      <c r="BC221" s="50"/>
      <c r="BD221" s="50"/>
      <c r="BE221" s="50"/>
      <c r="BF221" s="50"/>
      <c r="BG221" s="50"/>
      <c r="BH221" s="50"/>
      <c r="BI221" s="50"/>
      <c r="BJ221" s="50"/>
      <c r="BK221" s="50"/>
      <c r="BL221" s="50"/>
      <c r="BM221" s="50"/>
      <c r="BN221" s="50"/>
      <c r="BO221" s="50"/>
      <c r="BP221" s="50"/>
      <c r="BQ221" s="50"/>
      <c r="BR221" s="50"/>
      <c r="BS221" s="50"/>
      <c r="BT221" s="50"/>
      <c r="BU221" s="50"/>
      <c r="BV221" s="50"/>
      <c r="BW221" s="50"/>
      <c r="BX221" s="45"/>
    </row>
    <row r="222" spans="1:76" ht="13.5" customHeight="1">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c r="AS222" s="50"/>
      <c r="AT222" s="50"/>
      <c r="AU222" s="50"/>
      <c r="AV222" s="50"/>
      <c r="AW222" s="50"/>
      <c r="AX222" s="50"/>
      <c r="AY222" s="50"/>
      <c r="AZ222" s="50"/>
      <c r="BA222" s="50"/>
      <c r="BB222" s="50"/>
      <c r="BC222" s="50"/>
      <c r="BD222" s="50"/>
      <c r="BE222" s="50"/>
      <c r="BF222" s="50"/>
      <c r="BG222" s="50"/>
      <c r="BH222" s="50"/>
      <c r="BI222" s="50"/>
      <c r="BJ222" s="50"/>
      <c r="BK222" s="50"/>
      <c r="BL222" s="50"/>
      <c r="BM222" s="50"/>
      <c r="BN222" s="50"/>
      <c r="BO222" s="50"/>
      <c r="BP222" s="50"/>
      <c r="BQ222" s="50"/>
      <c r="BR222" s="50"/>
      <c r="BS222" s="50"/>
      <c r="BT222" s="50"/>
      <c r="BU222" s="50"/>
      <c r="BV222" s="50"/>
      <c r="BW222" s="50"/>
      <c r="BX222" s="45"/>
    </row>
    <row r="223" spans="1:76" ht="13.5" customHeight="1">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c r="AS223" s="50"/>
      <c r="AT223" s="50"/>
      <c r="AU223" s="50"/>
      <c r="AV223" s="50"/>
      <c r="AW223" s="50"/>
      <c r="AX223" s="50"/>
      <c r="AY223" s="50"/>
      <c r="AZ223" s="50"/>
      <c r="BA223" s="50"/>
      <c r="BB223" s="50"/>
      <c r="BC223" s="50"/>
      <c r="BD223" s="50"/>
      <c r="BE223" s="50"/>
      <c r="BF223" s="50"/>
      <c r="BG223" s="50"/>
      <c r="BH223" s="50"/>
      <c r="BI223" s="50"/>
      <c r="BJ223" s="50"/>
      <c r="BK223" s="50"/>
      <c r="BL223" s="50"/>
      <c r="BM223" s="50"/>
      <c r="BN223" s="50"/>
      <c r="BO223" s="50"/>
      <c r="BP223" s="50"/>
      <c r="BQ223" s="50"/>
      <c r="BR223" s="50"/>
      <c r="BS223" s="50"/>
      <c r="BT223" s="50"/>
      <c r="BU223" s="50"/>
      <c r="BV223" s="50"/>
      <c r="BW223" s="50"/>
      <c r="BX223" s="45"/>
    </row>
    <row r="224" spans="1:76" ht="13.5" customHeight="1">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c r="AA224" s="50"/>
      <c r="AB224" s="50"/>
      <c r="AC224" s="50"/>
      <c r="AD224" s="50"/>
      <c r="AE224" s="50"/>
      <c r="AF224" s="50"/>
      <c r="AG224" s="50"/>
      <c r="AH224" s="50"/>
      <c r="AI224" s="50"/>
      <c r="AJ224" s="50"/>
      <c r="AK224" s="50"/>
      <c r="AL224" s="50"/>
      <c r="AM224" s="50"/>
      <c r="AN224" s="50"/>
      <c r="AO224" s="50"/>
      <c r="AP224" s="50"/>
      <c r="AQ224" s="50"/>
      <c r="AR224" s="50"/>
      <c r="AS224" s="50"/>
      <c r="AT224" s="50"/>
      <c r="AU224" s="50"/>
      <c r="AV224" s="50"/>
      <c r="AW224" s="50"/>
      <c r="AX224" s="50"/>
      <c r="AY224" s="50"/>
      <c r="AZ224" s="50"/>
      <c r="BA224" s="50"/>
      <c r="BB224" s="50"/>
      <c r="BC224" s="50"/>
      <c r="BD224" s="50"/>
      <c r="BE224" s="50"/>
      <c r="BF224" s="50"/>
      <c r="BG224" s="50"/>
      <c r="BH224" s="50"/>
      <c r="BI224" s="50"/>
      <c r="BJ224" s="50"/>
      <c r="BK224" s="50"/>
      <c r="BL224" s="50"/>
      <c r="BM224" s="50"/>
      <c r="BN224" s="50"/>
      <c r="BO224" s="50"/>
      <c r="BP224" s="50"/>
      <c r="BQ224" s="50"/>
      <c r="BR224" s="50"/>
      <c r="BS224" s="50"/>
      <c r="BT224" s="50"/>
      <c r="BU224" s="50"/>
      <c r="BV224" s="50"/>
      <c r="BW224" s="50"/>
      <c r="BX224" s="45"/>
    </row>
    <row r="225" spans="2:76" ht="13.5" customHeight="1">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c r="AA225" s="50"/>
      <c r="AB225" s="50"/>
      <c r="AC225" s="50"/>
      <c r="AD225" s="50"/>
      <c r="AE225" s="50"/>
      <c r="AF225" s="50"/>
      <c r="AG225" s="50"/>
      <c r="AH225" s="50"/>
      <c r="AI225" s="50"/>
      <c r="AJ225" s="50"/>
      <c r="AK225" s="50"/>
      <c r="AL225" s="50"/>
      <c r="AM225" s="50"/>
      <c r="AN225" s="50"/>
      <c r="AO225" s="50"/>
      <c r="AP225" s="50"/>
      <c r="AQ225" s="50"/>
      <c r="AR225" s="50"/>
      <c r="AS225" s="50"/>
      <c r="AT225" s="50"/>
      <c r="AU225" s="50"/>
      <c r="AV225" s="50"/>
      <c r="AW225" s="50"/>
      <c r="AX225" s="50"/>
      <c r="AY225" s="50"/>
      <c r="AZ225" s="50"/>
      <c r="BA225" s="50"/>
      <c r="BB225" s="50"/>
      <c r="BC225" s="50"/>
      <c r="BD225" s="50"/>
      <c r="BE225" s="50"/>
      <c r="BF225" s="50"/>
      <c r="BG225" s="50"/>
      <c r="BH225" s="50"/>
      <c r="BI225" s="50"/>
      <c r="BJ225" s="50"/>
      <c r="BK225" s="50"/>
      <c r="BL225" s="50"/>
      <c r="BM225" s="50"/>
      <c r="BN225" s="50"/>
      <c r="BO225" s="50"/>
      <c r="BP225" s="50"/>
      <c r="BQ225" s="50"/>
      <c r="BR225" s="50"/>
      <c r="BS225" s="50"/>
      <c r="BT225" s="50"/>
      <c r="BU225" s="50"/>
      <c r="BV225" s="50"/>
      <c r="BW225" s="50"/>
      <c r="BX225" s="45"/>
    </row>
    <row r="226" spans="2:76" ht="13.5" customHeight="1">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c r="AA226" s="50"/>
      <c r="AB226" s="50"/>
      <c r="AC226" s="50"/>
      <c r="AD226" s="50"/>
      <c r="AE226" s="50"/>
      <c r="AF226" s="50"/>
      <c r="AG226" s="50"/>
      <c r="AH226" s="50"/>
      <c r="AI226" s="50"/>
      <c r="AJ226" s="50"/>
      <c r="AK226" s="50"/>
      <c r="AL226" s="50"/>
      <c r="AM226" s="50"/>
      <c r="AN226" s="50"/>
      <c r="AO226" s="50"/>
      <c r="AP226" s="50"/>
      <c r="AQ226" s="50"/>
      <c r="AR226" s="50"/>
      <c r="AS226" s="50"/>
      <c r="AT226" s="50"/>
      <c r="AU226" s="50"/>
      <c r="AV226" s="50"/>
      <c r="AW226" s="50"/>
      <c r="AX226" s="50"/>
      <c r="AY226" s="50"/>
      <c r="AZ226" s="50"/>
      <c r="BA226" s="50"/>
      <c r="BB226" s="50"/>
      <c r="BC226" s="50"/>
      <c r="BD226" s="50"/>
      <c r="BE226" s="50"/>
      <c r="BF226" s="50"/>
      <c r="BG226" s="50"/>
      <c r="BH226" s="50"/>
      <c r="BI226" s="50"/>
      <c r="BJ226" s="50"/>
      <c r="BK226" s="50"/>
      <c r="BL226" s="50"/>
      <c r="BM226" s="50"/>
      <c r="BN226" s="50"/>
      <c r="BO226" s="50"/>
      <c r="BP226" s="50"/>
      <c r="BQ226" s="50"/>
      <c r="BR226" s="50"/>
      <c r="BS226" s="50"/>
      <c r="BT226" s="50"/>
      <c r="BU226" s="50"/>
      <c r="BV226" s="50"/>
      <c r="BW226" s="50"/>
      <c r="BX226" s="45"/>
    </row>
    <row r="227" spans="2:76" ht="13.5" customHeight="1">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c r="AH227" s="50"/>
      <c r="AI227" s="50"/>
      <c r="AJ227" s="50"/>
      <c r="AK227" s="50"/>
      <c r="AL227" s="50"/>
      <c r="AM227" s="50"/>
      <c r="AN227" s="50"/>
      <c r="AO227" s="50"/>
      <c r="AP227" s="50"/>
      <c r="AQ227" s="50"/>
      <c r="AR227" s="50"/>
      <c r="AS227" s="50"/>
      <c r="AT227" s="50"/>
      <c r="AU227" s="50"/>
      <c r="AV227" s="50"/>
      <c r="AW227" s="50"/>
      <c r="AX227" s="50"/>
      <c r="AY227" s="50"/>
      <c r="AZ227" s="50"/>
      <c r="BA227" s="50"/>
      <c r="BB227" s="50"/>
      <c r="BC227" s="50"/>
      <c r="BD227" s="50"/>
      <c r="BE227" s="50"/>
      <c r="BF227" s="50"/>
      <c r="BG227" s="50"/>
      <c r="BH227" s="50"/>
      <c r="BI227" s="50"/>
      <c r="BJ227" s="50"/>
      <c r="BK227" s="50"/>
      <c r="BL227" s="50"/>
      <c r="BM227" s="50"/>
      <c r="BN227" s="50"/>
      <c r="BO227" s="50"/>
      <c r="BP227" s="50"/>
      <c r="BQ227" s="50"/>
      <c r="BR227" s="50"/>
      <c r="BS227" s="50"/>
      <c r="BT227" s="50"/>
      <c r="BU227" s="50"/>
      <c r="BV227" s="50"/>
      <c r="BW227" s="50"/>
      <c r="BX227" s="45"/>
    </row>
    <row r="228" spans="2:76" ht="13.5" customHeight="1">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c r="AH228" s="50"/>
      <c r="AI228" s="50"/>
      <c r="AJ228" s="50"/>
      <c r="AK228" s="50"/>
      <c r="AL228" s="50"/>
      <c r="AM228" s="50"/>
      <c r="AN228" s="50"/>
      <c r="AO228" s="50"/>
      <c r="AP228" s="50"/>
      <c r="AQ228" s="50"/>
      <c r="AR228" s="50"/>
      <c r="AS228" s="50"/>
      <c r="AT228" s="50"/>
      <c r="AU228" s="50"/>
      <c r="AV228" s="50"/>
      <c r="AW228" s="50"/>
      <c r="AX228" s="50"/>
      <c r="AY228" s="50"/>
      <c r="AZ228" s="50"/>
      <c r="BA228" s="50"/>
      <c r="BB228" s="50"/>
      <c r="BC228" s="50"/>
      <c r="BD228" s="50"/>
      <c r="BE228" s="50"/>
      <c r="BF228" s="50"/>
      <c r="BG228" s="50"/>
      <c r="BH228" s="50"/>
      <c r="BI228" s="50"/>
      <c r="BJ228" s="50"/>
      <c r="BK228" s="50"/>
      <c r="BL228" s="50"/>
      <c r="BM228" s="50"/>
      <c r="BN228" s="50"/>
      <c r="BO228" s="50"/>
      <c r="BP228" s="50"/>
      <c r="BQ228" s="50"/>
      <c r="BR228" s="50"/>
      <c r="BS228" s="50"/>
      <c r="BT228" s="50"/>
      <c r="BU228" s="50"/>
      <c r="BV228" s="50"/>
      <c r="BW228" s="50"/>
      <c r="BX228" s="45"/>
    </row>
    <row r="229" spans="2:76" ht="13.5" customHeight="1">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c r="AS229" s="50"/>
      <c r="AT229" s="50"/>
      <c r="AU229" s="50"/>
      <c r="AV229" s="50"/>
      <c r="AW229" s="50"/>
      <c r="AX229" s="50"/>
      <c r="AY229" s="50"/>
      <c r="AZ229" s="50"/>
      <c r="BA229" s="50"/>
      <c r="BB229" s="50"/>
      <c r="BC229" s="50"/>
      <c r="BD229" s="50"/>
      <c r="BE229" s="50"/>
      <c r="BF229" s="50"/>
      <c r="BG229" s="50"/>
      <c r="BH229" s="50"/>
      <c r="BI229" s="50"/>
      <c r="BJ229" s="50"/>
      <c r="BK229" s="50"/>
      <c r="BL229" s="50"/>
      <c r="BM229" s="50"/>
      <c r="BN229" s="50"/>
      <c r="BO229" s="50"/>
      <c r="BP229" s="50"/>
      <c r="BQ229" s="50"/>
      <c r="BR229" s="50"/>
      <c r="BS229" s="50"/>
      <c r="BT229" s="50"/>
      <c r="BU229" s="50"/>
      <c r="BV229" s="50"/>
      <c r="BW229" s="50"/>
      <c r="BX229" s="45"/>
    </row>
    <row r="230" spans="2:76" ht="13.5" customHeight="1">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c r="AS230" s="50"/>
      <c r="AT230" s="50"/>
      <c r="AU230" s="50"/>
      <c r="AV230" s="50"/>
      <c r="AW230" s="50"/>
      <c r="AX230" s="50"/>
      <c r="AY230" s="50"/>
      <c r="AZ230" s="50"/>
      <c r="BA230" s="50"/>
      <c r="BB230" s="50"/>
      <c r="BC230" s="50"/>
      <c r="BD230" s="50"/>
      <c r="BE230" s="50"/>
      <c r="BF230" s="50"/>
      <c r="BG230" s="50"/>
      <c r="BH230" s="50"/>
      <c r="BI230" s="50"/>
      <c r="BJ230" s="50"/>
      <c r="BK230" s="50"/>
      <c r="BL230" s="50"/>
      <c r="BM230" s="50"/>
      <c r="BN230" s="50"/>
      <c r="BO230" s="50"/>
      <c r="BP230" s="50"/>
      <c r="BQ230" s="50"/>
      <c r="BR230" s="50"/>
      <c r="BS230" s="50"/>
      <c r="BT230" s="50"/>
      <c r="BU230" s="50"/>
      <c r="BV230" s="50"/>
      <c r="BW230" s="50"/>
      <c r="BX230" s="45"/>
    </row>
    <row r="231" spans="2:76" ht="13.5" customHeight="1">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c r="AS231" s="50"/>
      <c r="AT231" s="50"/>
      <c r="AU231" s="50"/>
      <c r="AV231" s="50"/>
      <c r="AW231" s="50"/>
      <c r="AX231" s="50"/>
      <c r="AY231" s="50"/>
      <c r="AZ231" s="50"/>
      <c r="BA231" s="50"/>
      <c r="BB231" s="50"/>
      <c r="BC231" s="50"/>
      <c r="BD231" s="50"/>
      <c r="BE231" s="50"/>
      <c r="BF231" s="50"/>
      <c r="BG231" s="50"/>
      <c r="BH231" s="50"/>
      <c r="BI231" s="50"/>
      <c r="BJ231" s="50"/>
      <c r="BK231" s="50"/>
      <c r="BL231" s="50"/>
      <c r="BM231" s="50"/>
      <c r="BN231" s="50"/>
      <c r="BO231" s="50"/>
      <c r="BP231" s="50"/>
      <c r="BQ231" s="50"/>
      <c r="BR231" s="50"/>
      <c r="BS231" s="50"/>
      <c r="BT231" s="50"/>
      <c r="BU231" s="50"/>
      <c r="BV231" s="50"/>
      <c r="BW231" s="50"/>
      <c r="BX231" s="45"/>
    </row>
    <row r="232" spans="2:76" ht="13.5" customHeight="1">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c r="AY232" s="50"/>
      <c r="AZ232" s="50"/>
      <c r="BA232" s="50"/>
      <c r="BB232" s="50"/>
      <c r="BC232" s="50"/>
      <c r="BD232" s="50"/>
      <c r="BE232" s="50"/>
      <c r="BF232" s="50"/>
      <c r="BG232" s="50"/>
      <c r="BH232" s="50"/>
      <c r="BI232" s="50"/>
      <c r="BJ232" s="50"/>
      <c r="BK232" s="50"/>
      <c r="BL232" s="50"/>
      <c r="BM232" s="50"/>
      <c r="BN232" s="50"/>
      <c r="BO232" s="50"/>
      <c r="BP232" s="50"/>
      <c r="BQ232" s="50"/>
      <c r="BR232" s="50"/>
      <c r="BS232" s="50"/>
      <c r="BT232" s="50"/>
      <c r="BU232" s="50"/>
      <c r="BV232" s="50"/>
      <c r="BW232" s="50"/>
      <c r="BX232" s="45"/>
    </row>
    <row r="233" spans="2:76" ht="13.5" customHeight="1">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c r="AH233" s="50"/>
      <c r="AI233" s="50"/>
      <c r="AJ233" s="50"/>
      <c r="AK233" s="50"/>
      <c r="AL233" s="50"/>
      <c r="AM233" s="50"/>
      <c r="AN233" s="50"/>
      <c r="AO233" s="50"/>
      <c r="AP233" s="50"/>
      <c r="AQ233" s="50"/>
      <c r="AR233" s="50"/>
      <c r="AS233" s="50"/>
      <c r="AT233" s="50"/>
      <c r="AU233" s="50"/>
      <c r="AV233" s="50"/>
      <c r="AW233" s="50"/>
      <c r="AX233" s="50"/>
      <c r="AY233" s="50"/>
      <c r="AZ233" s="50"/>
      <c r="BA233" s="50"/>
      <c r="BB233" s="50"/>
      <c r="BC233" s="50"/>
      <c r="BD233" s="50"/>
      <c r="BE233" s="50"/>
      <c r="BF233" s="50"/>
      <c r="BG233" s="50"/>
      <c r="BH233" s="50"/>
      <c r="BI233" s="50"/>
      <c r="BJ233" s="50"/>
      <c r="BK233" s="50"/>
      <c r="BL233" s="50"/>
      <c r="BM233" s="50"/>
      <c r="BN233" s="50"/>
      <c r="BO233" s="50"/>
      <c r="BP233" s="50"/>
      <c r="BQ233" s="50"/>
      <c r="BR233" s="50"/>
      <c r="BS233" s="50"/>
      <c r="BT233" s="50"/>
      <c r="BU233" s="50"/>
      <c r="BV233" s="50"/>
      <c r="BW233" s="50"/>
      <c r="BX233" s="45"/>
    </row>
    <row r="234" spans="2:76" ht="13.5" customHeight="1">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c r="AH234" s="50"/>
      <c r="AI234" s="50"/>
      <c r="AJ234" s="50"/>
      <c r="AK234" s="50"/>
      <c r="AL234" s="50"/>
      <c r="AM234" s="50"/>
      <c r="AN234" s="50"/>
      <c r="AO234" s="50"/>
      <c r="AP234" s="50"/>
      <c r="AQ234" s="50"/>
      <c r="AR234" s="50"/>
      <c r="AS234" s="50"/>
      <c r="AT234" s="50"/>
      <c r="AU234" s="50"/>
      <c r="AV234" s="50"/>
      <c r="AW234" s="50"/>
      <c r="AX234" s="50"/>
      <c r="AY234" s="50"/>
      <c r="AZ234" s="50"/>
      <c r="BA234" s="50"/>
      <c r="BB234" s="50"/>
      <c r="BC234" s="50"/>
      <c r="BD234" s="50"/>
      <c r="BE234" s="50"/>
      <c r="BF234" s="50"/>
      <c r="BG234" s="50"/>
      <c r="BH234" s="50"/>
      <c r="BI234" s="50"/>
      <c r="BJ234" s="50"/>
      <c r="BK234" s="50"/>
      <c r="BL234" s="50"/>
      <c r="BM234" s="50"/>
      <c r="BN234" s="50"/>
      <c r="BO234" s="50"/>
      <c r="BP234" s="50"/>
      <c r="BQ234" s="50"/>
      <c r="BR234" s="50"/>
      <c r="BS234" s="50"/>
      <c r="BT234" s="50"/>
      <c r="BU234" s="50"/>
      <c r="BV234" s="50"/>
      <c r="BW234" s="50"/>
      <c r="BX234" s="45"/>
    </row>
    <row r="235" spans="2:76" ht="13.5" customHeight="1">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c r="AH235" s="50"/>
      <c r="AI235" s="50"/>
      <c r="AJ235" s="50"/>
      <c r="AK235" s="50"/>
      <c r="AL235" s="50"/>
      <c r="AM235" s="50"/>
      <c r="AN235" s="50"/>
      <c r="AO235" s="50"/>
      <c r="AP235" s="50"/>
      <c r="AQ235" s="50"/>
      <c r="AR235" s="50"/>
      <c r="AS235" s="50"/>
      <c r="AT235" s="50"/>
      <c r="AU235" s="50"/>
      <c r="AV235" s="50"/>
      <c r="AW235" s="50"/>
      <c r="AX235" s="50"/>
      <c r="AY235" s="50"/>
      <c r="AZ235" s="50"/>
      <c r="BA235" s="50"/>
      <c r="BB235" s="50"/>
      <c r="BC235" s="50"/>
      <c r="BD235" s="50"/>
      <c r="BE235" s="50"/>
      <c r="BF235" s="50"/>
      <c r="BG235" s="50"/>
      <c r="BH235" s="50"/>
      <c r="BI235" s="50"/>
      <c r="BJ235" s="50"/>
      <c r="BK235" s="50"/>
      <c r="BL235" s="50"/>
      <c r="BM235" s="50"/>
      <c r="BN235" s="50"/>
      <c r="BO235" s="50"/>
      <c r="BP235" s="50"/>
      <c r="BQ235" s="50"/>
      <c r="BR235" s="50"/>
      <c r="BS235" s="50"/>
      <c r="BT235" s="50"/>
      <c r="BU235" s="50"/>
      <c r="BV235" s="50"/>
      <c r="BW235" s="50"/>
    </row>
    <row r="236" spans="2:76" ht="13.5" customHeight="1">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c r="AH236" s="50"/>
      <c r="AI236" s="50"/>
      <c r="AJ236" s="50"/>
      <c r="AK236" s="50"/>
      <c r="AL236" s="50"/>
      <c r="AM236" s="50"/>
      <c r="AN236" s="50"/>
      <c r="AO236" s="50"/>
      <c r="AP236" s="50"/>
      <c r="AQ236" s="50"/>
      <c r="AR236" s="50"/>
      <c r="AS236" s="50"/>
      <c r="AT236" s="50"/>
      <c r="AU236" s="50"/>
      <c r="AV236" s="50"/>
      <c r="AW236" s="50"/>
      <c r="AX236" s="50"/>
      <c r="AY236" s="50"/>
      <c r="AZ236" s="50"/>
      <c r="BA236" s="50"/>
      <c r="BB236" s="50"/>
      <c r="BC236" s="50"/>
      <c r="BD236" s="50"/>
      <c r="BE236" s="50"/>
      <c r="BF236" s="50"/>
      <c r="BG236" s="50"/>
      <c r="BH236" s="50"/>
      <c r="BI236" s="50"/>
      <c r="BJ236" s="50"/>
      <c r="BK236" s="50"/>
      <c r="BL236" s="50"/>
      <c r="BM236" s="50"/>
      <c r="BN236" s="50"/>
      <c r="BO236" s="50"/>
      <c r="BP236" s="50"/>
      <c r="BQ236" s="50"/>
      <c r="BR236" s="50"/>
      <c r="BS236" s="50"/>
      <c r="BT236" s="50"/>
      <c r="BU236" s="50"/>
      <c r="BV236" s="50"/>
      <c r="BW236" s="50"/>
    </row>
    <row r="237" spans="2:76" ht="13.5" customHeight="1">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c r="AH237" s="50"/>
      <c r="AI237" s="50"/>
      <c r="AJ237" s="50"/>
      <c r="AK237" s="50"/>
      <c r="AL237" s="50"/>
      <c r="AM237" s="50"/>
      <c r="AN237" s="50"/>
      <c r="AO237" s="50"/>
      <c r="AP237" s="50"/>
      <c r="AQ237" s="50"/>
      <c r="AR237" s="50"/>
      <c r="AS237" s="50"/>
      <c r="AT237" s="50"/>
      <c r="AU237" s="50"/>
      <c r="AV237" s="50"/>
      <c r="AW237" s="50"/>
      <c r="AX237" s="50"/>
      <c r="AY237" s="50"/>
      <c r="AZ237" s="50"/>
      <c r="BA237" s="50"/>
      <c r="BB237" s="50"/>
      <c r="BC237" s="50"/>
      <c r="BD237" s="50"/>
      <c r="BE237" s="50"/>
      <c r="BF237" s="50"/>
      <c r="BG237" s="50"/>
      <c r="BH237" s="50"/>
      <c r="BI237" s="50"/>
      <c r="BJ237" s="50"/>
      <c r="BK237" s="50"/>
      <c r="BL237" s="50"/>
      <c r="BM237" s="50"/>
      <c r="BN237" s="50"/>
      <c r="BO237" s="50"/>
      <c r="BP237" s="50"/>
      <c r="BQ237" s="50"/>
      <c r="BR237" s="50"/>
      <c r="BS237" s="50"/>
      <c r="BT237" s="50"/>
      <c r="BU237" s="50"/>
      <c r="BV237" s="50"/>
      <c r="BW237" s="50"/>
    </row>
    <row r="238" spans="2:76" ht="13.5" customHeight="1">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c r="AH238" s="50"/>
      <c r="AI238" s="50"/>
      <c r="AJ238" s="50"/>
      <c r="AK238" s="50"/>
      <c r="AL238" s="50"/>
      <c r="AM238" s="50"/>
      <c r="AN238" s="50"/>
      <c r="AO238" s="50"/>
      <c r="AP238" s="50"/>
      <c r="AQ238" s="50"/>
      <c r="AR238" s="50"/>
      <c r="AS238" s="50"/>
      <c r="AT238" s="50"/>
      <c r="AU238" s="50"/>
      <c r="AV238" s="50"/>
      <c r="AW238" s="50"/>
      <c r="AX238" s="50"/>
      <c r="AY238" s="50"/>
      <c r="AZ238" s="50"/>
      <c r="BA238" s="50"/>
      <c r="BB238" s="50"/>
      <c r="BC238" s="50"/>
      <c r="BD238" s="50"/>
      <c r="BE238" s="50"/>
      <c r="BF238" s="50"/>
      <c r="BG238" s="50"/>
      <c r="BH238" s="50"/>
      <c r="BI238" s="50"/>
      <c r="BJ238" s="50"/>
      <c r="BK238" s="50"/>
      <c r="BL238" s="50"/>
      <c r="BM238" s="50"/>
      <c r="BN238" s="50"/>
      <c r="BO238" s="50"/>
      <c r="BP238" s="50"/>
      <c r="BQ238" s="50"/>
      <c r="BR238" s="50"/>
      <c r="BS238" s="50"/>
      <c r="BT238" s="50"/>
      <c r="BU238" s="50"/>
      <c r="BV238" s="50"/>
      <c r="BW238" s="50"/>
    </row>
    <row r="239" spans="2:76" ht="13.5" customHeight="1">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c r="AS239" s="50"/>
      <c r="AT239" s="50"/>
      <c r="AU239" s="50"/>
      <c r="AV239" s="50"/>
      <c r="AW239" s="50"/>
      <c r="AX239" s="50"/>
      <c r="AY239" s="50"/>
      <c r="AZ239" s="50"/>
      <c r="BA239" s="50"/>
      <c r="BB239" s="50"/>
      <c r="BC239" s="50"/>
      <c r="BD239" s="50"/>
      <c r="BE239" s="50"/>
      <c r="BF239" s="50"/>
      <c r="BG239" s="50"/>
      <c r="BH239" s="50"/>
      <c r="BI239" s="50"/>
      <c r="BJ239" s="50"/>
      <c r="BK239" s="50"/>
      <c r="BL239" s="50"/>
      <c r="BM239" s="50"/>
      <c r="BN239" s="50"/>
      <c r="BO239" s="50"/>
      <c r="BP239" s="50"/>
      <c r="BQ239" s="50"/>
      <c r="BR239" s="50"/>
      <c r="BS239" s="50"/>
      <c r="BT239" s="50"/>
      <c r="BU239" s="50"/>
      <c r="BV239" s="50"/>
      <c r="BW239" s="50"/>
    </row>
    <row r="240" spans="2:76" ht="13.5" customHeight="1">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c r="AS240" s="50"/>
      <c r="AT240" s="50"/>
      <c r="AU240" s="50"/>
      <c r="AV240" s="50"/>
      <c r="AW240" s="50"/>
      <c r="AX240" s="50"/>
      <c r="AY240" s="50"/>
      <c r="AZ240" s="50"/>
      <c r="BA240" s="50"/>
      <c r="BB240" s="50"/>
      <c r="BC240" s="50"/>
      <c r="BD240" s="50"/>
      <c r="BE240" s="50"/>
      <c r="BF240" s="50"/>
      <c r="BG240" s="50"/>
      <c r="BH240" s="50"/>
      <c r="BI240" s="50"/>
      <c r="BJ240" s="50"/>
      <c r="BK240" s="50"/>
      <c r="BL240" s="50"/>
      <c r="BM240" s="50"/>
      <c r="BN240" s="50"/>
      <c r="BO240" s="50"/>
      <c r="BP240" s="50"/>
      <c r="BQ240" s="50"/>
      <c r="BR240" s="50"/>
      <c r="BS240" s="50"/>
      <c r="BT240" s="50"/>
      <c r="BU240" s="50"/>
      <c r="BV240" s="50"/>
      <c r="BW240" s="50"/>
    </row>
    <row r="241" spans="1:224" ht="8" customHeight="1">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c r="AY241" s="50"/>
      <c r="AZ241" s="50"/>
      <c r="BA241" s="50"/>
      <c r="BB241" s="50"/>
      <c r="BC241" s="50"/>
      <c r="BD241" s="50"/>
      <c r="BE241" s="50"/>
      <c r="BF241" s="50"/>
      <c r="BG241" s="50"/>
      <c r="BH241" s="50"/>
      <c r="BI241" s="50"/>
      <c r="BJ241" s="50"/>
      <c r="BK241" s="50"/>
      <c r="BL241" s="50"/>
      <c r="BM241" s="50"/>
      <c r="BN241" s="50"/>
      <c r="BO241" s="50"/>
      <c r="BP241" s="50"/>
      <c r="BQ241" s="50"/>
      <c r="BR241" s="50"/>
      <c r="BS241" s="50"/>
      <c r="BT241" s="50"/>
      <c r="BU241" s="50"/>
      <c r="BV241" s="50"/>
      <c r="BW241" s="50"/>
    </row>
    <row r="243" spans="1:224" ht="13.5" customHeight="1">
      <c r="A243" s="2" t="s">
        <v>506</v>
      </c>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c r="BU243" s="46"/>
      <c r="BV243" s="46"/>
      <c r="BW243" s="46"/>
      <c r="HM243" s="1"/>
      <c r="HN243" s="1"/>
      <c r="HO243" s="1"/>
      <c r="HP243" s="1"/>
    </row>
    <row r="244" spans="1:224" ht="13.5" customHeight="1">
      <c r="B244" s="50" t="s">
        <v>514</v>
      </c>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c r="AY244" s="50"/>
      <c r="AZ244" s="50"/>
      <c r="BA244" s="50"/>
      <c r="BB244" s="50"/>
      <c r="BC244" s="50"/>
      <c r="BD244" s="50"/>
      <c r="BE244" s="50"/>
      <c r="BF244" s="50"/>
      <c r="BG244" s="50"/>
      <c r="BH244" s="50"/>
      <c r="BI244" s="50"/>
      <c r="BJ244" s="50"/>
      <c r="BK244" s="50"/>
      <c r="BL244" s="50"/>
      <c r="BM244" s="50"/>
      <c r="BN244" s="50"/>
      <c r="BO244" s="50"/>
      <c r="BP244" s="50"/>
      <c r="BQ244" s="50"/>
      <c r="BR244" s="50"/>
      <c r="BS244" s="50"/>
      <c r="BT244" s="50"/>
      <c r="BU244" s="50"/>
      <c r="BV244" s="50"/>
      <c r="BW244" s="50"/>
      <c r="BX244" s="50"/>
      <c r="HM244" s="1"/>
      <c r="HN244" s="1"/>
      <c r="HO244" s="1"/>
      <c r="HP244" s="1"/>
    </row>
    <row r="245" spans="1:224" ht="13.5" customHeight="1">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c r="AY245" s="50"/>
      <c r="AZ245" s="50"/>
      <c r="BA245" s="50"/>
      <c r="BB245" s="50"/>
      <c r="BC245" s="50"/>
      <c r="BD245" s="50"/>
      <c r="BE245" s="50"/>
      <c r="BF245" s="50"/>
      <c r="BG245" s="50"/>
      <c r="BH245" s="50"/>
      <c r="BI245" s="50"/>
      <c r="BJ245" s="50"/>
      <c r="BK245" s="50"/>
      <c r="BL245" s="50"/>
      <c r="BM245" s="50"/>
      <c r="BN245" s="50"/>
      <c r="BO245" s="50"/>
      <c r="BP245" s="50"/>
      <c r="BQ245" s="50"/>
      <c r="BR245" s="50"/>
      <c r="BS245" s="50"/>
      <c r="BT245" s="50"/>
      <c r="BU245" s="50"/>
      <c r="BV245" s="50"/>
      <c r="BW245" s="50"/>
      <c r="BX245" s="50"/>
      <c r="HM245" s="1"/>
      <c r="HN245" s="1"/>
      <c r="HO245" s="1"/>
      <c r="HP245" s="1"/>
    </row>
    <row r="246" spans="1:224" ht="13.5" customHeight="1">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c r="AA246" s="50"/>
      <c r="AB246" s="50"/>
      <c r="AC246" s="50"/>
      <c r="AD246" s="50"/>
      <c r="AE246" s="50"/>
      <c r="AF246" s="50"/>
      <c r="AG246" s="50"/>
      <c r="AH246" s="50"/>
      <c r="AI246" s="50"/>
      <c r="AJ246" s="50"/>
      <c r="AK246" s="50"/>
      <c r="AL246" s="50"/>
      <c r="AM246" s="50"/>
      <c r="AN246" s="50"/>
      <c r="AO246" s="50"/>
      <c r="AP246" s="50"/>
      <c r="AQ246" s="50"/>
      <c r="AR246" s="50"/>
      <c r="AS246" s="50"/>
      <c r="AT246" s="50"/>
      <c r="AU246" s="50"/>
      <c r="AV246" s="50"/>
      <c r="AW246" s="50"/>
      <c r="AX246" s="50"/>
      <c r="AY246" s="50"/>
      <c r="AZ246" s="50"/>
      <c r="BA246" s="50"/>
      <c r="BB246" s="50"/>
      <c r="BC246" s="50"/>
      <c r="BD246" s="50"/>
      <c r="BE246" s="50"/>
      <c r="BF246" s="50"/>
      <c r="BG246" s="50"/>
      <c r="BH246" s="50"/>
      <c r="BI246" s="50"/>
      <c r="BJ246" s="50"/>
      <c r="BK246" s="50"/>
      <c r="BL246" s="50"/>
      <c r="BM246" s="50"/>
      <c r="BN246" s="50"/>
      <c r="BO246" s="50"/>
      <c r="BP246" s="50"/>
      <c r="BQ246" s="50"/>
      <c r="BR246" s="50"/>
      <c r="BS246" s="50"/>
      <c r="BT246" s="50"/>
      <c r="BU246" s="50"/>
      <c r="BV246" s="50"/>
      <c r="BW246" s="50"/>
      <c r="BX246" s="50"/>
    </row>
    <row r="247" spans="1:224" ht="13.5" customHeight="1">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c r="AA247" s="50"/>
      <c r="AB247" s="50"/>
      <c r="AC247" s="50"/>
      <c r="AD247" s="50"/>
      <c r="AE247" s="50"/>
      <c r="AF247" s="50"/>
      <c r="AG247" s="50"/>
      <c r="AH247" s="50"/>
      <c r="AI247" s="50"/>
      <c r="AJ247" s="50"/>
      <c r="AK247" s="50"/>
      <c r="AL247" s="50"/>
      <c r="AM247" s="50"/>
      <c r="AN247" s="50"/>
      <c r="AO247" s="50"/>
      <c r="AP247" s="50"/>
      <c r="AQ247" s="50"/>
      <c r="AR247" s="50"/>
      <c r="AS247" s="50"/>
      <c r="AT247" s="50"/>
      <c r="AU247" s="50"/>
      <c r="AV247" s="50"/>
      <c r="AW247" s="50"/>
      <c r="AX247" s="50"/>
      <c r="AY247" s="50"/>
      <c r="AZ247" s="50"/>
      <c r="BA247" s="50"/>
      <c r="BB247" s="50"/>
      <c r="BC247" s="50"/>
      <c r="BD247" s="50"/>
      <c r="BE247" s="50"/>
      <c r="BF247" s="50"/>
      <c r="BG247" s="50"/>
      <c r="BH247" s="50"/>
      <c r="BI247" s="50"/>
      <c r="BJ247" s="50"/>
      <c r="BK247" s="50"/>
      <c r="BL247" s="50"/>
      <c r="BM247" s="50"/>
      <c r="BN247" s="50"/>
      <c r="BO247" s="50"/>
      <c r="BP247" s="50"/>
      <c r="BQ247" s="50"/>
      <c r="BR247" s="50"/>
      <c r="BS247" s="50"/>
      <c r="BT247" s="50"/>
      <c r="BU247" s="50"/>
      <c r="BV247" s="50"/>
      <c r="BW247" s="50"/>
      <c r="BX247" s="50"/>
    </row>
    <row r="248" spans="1:224" ht="13.5" customHeight="1">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c r="AA248" s="50"/>
      <c r="AB248" s="50"/>
      <c r="AC248" s="50"/>
      <c r="AD248" s="50"/>
      <c r="AE248" s="50"/>
      <c r="AF248" s="50"/>
      <c r="AG248" s="50"/>
      <c r="AH248" s="50"/>
      <c r="AI248" s="50"/>
      <c r="AJ248" s="50"/>
      <c r="AK248" s="50"/>
      <c r="AL248" s="50"/>
      <c r="AM248" s="50"/>
      <c r="AN248" s="50"/>
      <c r="AO248" s="50"/>
      <c r="AP248" s="50"/>
      <c r="AQ248" s="50"/>
      <c r="AR248" s="50"/>
      <c r="AS248" s="50"/>
      <c r="AT248" s="50"/>
      <c r="AU248" s="50"/>
      <c r="AV248" s="50"/>
      <c r="AW248" s="50"/>
      <c r="AX248" s="50"/>
      <c r="AY248" s="50"/>
      <c r="AZ248" s="50"/>
      <c r="BA248" s="50"/>
      <c r="BB248" s="50"/>
      <c r="BC248" s="50"/>
      <c r="BD248" s="50"/>
      <c r="BE248" s="50"/>
      <c r="BF248" s="50"/>
      <c r="BG248" s="50"/>
      <c r="BH248" s="50"/>
      <c r="BI248" s="50"/>
      <c r="BJ248" s="50"/>
      <c r="BK248" s="50"/>
      <c r="BL248" s="50"/>
      <c r="BM248" s="50"/>
      <c r="BN248" s="50"/>
      <c r="BO248" s="50"/>
      <c r="BP248" s="50"/>
      <c r="BQ248" s="50"/>
      <c r="BR248" s="50"/>
      <c r="BS248" s="50"/>
      <c r="BT248" s="50"/>
      <c r="BU248" s="50"/>
      <c r="BV248" s="50"/>
      <c r="BW248" s="50"/>
      <c r="BX248" s="50"/>
    </row>
    <row r="249" spans="1:224" ht="13.5" customHeight="1">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c r="AA249" s="50"/>
      <c r="AB249" s="50"/>
      <c r="AC249" s="50"/>
      <c r="AD249" s="50"/>
      <c r="AE249" s="50"/>
      <c r="AF249" s="50"/>
      <c r="AG249" s="50"/>
      <c r="AH249" s="50"/>
      <c r="AI249" s="50"/>
      <c r="AJ249" s="50"/>
      <c r="AK249" s="50"/>
      <c r="AL249" s="50"/>
      <c r="AM249" s="50"/>
      <c r="AN249" s="50"/>
      <c r="AO249" s="50"/>
      <c r="AP249" s="50"/>
      <c r="AQ249" s="50"/>
      <c r="AR249" s="50"/>
      <c r="AS249" s="50"/>
      <c r="AT249" s="50"/>
      <c r="AU249" s="50"/>
      <c r="AV249" s="50"/>
      <c r="AW249" s="50"/>
      <c r="AX249" s="50"/>
      <c r="AY249" s="50"/>
      <c r="AZ249" s="50"/>
      <c r="BA249" s="50"/>
      <c r="BB249" s="50"/>
      <c r="BC249" s="50"/>
      <c r="BD249" s="50"/>
      <c r="BE249" s="50"/>
      <c r="BF249" s="50"/>
      <c r="BG249" s="50"/>
      <c r="BH249" s="50"/>
      <c r="BI249" s="50"/>
      <c r="BJ249" s="50"/>
      <c r="BK249" s="50"/>
      <c r="BL249" s="50"/>
      <c r="BM249" s="50"/>
      <c r="BN249" s="50"/>
      <c r="BO249" s="50"/>
      <c r="BP249" s="50"/>
      <c r="BQ249" s="50"/>
      <c r="BR249" s="50"/>
      <c r="BS249" s="50"/>
      <c r="BT249" s="50"/>
      <c r="BU249" s="50"/>
      <c r="BV249" s="50"/>
      <c r="BW249" s="50"/>
      <c r="BX249" s="50"/>
    </row>
    <row r="250" spans="1:224" ht="13.5" customHeight="1">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c r="AC250" s="50"/>
      <c r="AD250" s="50"/>
      <c r="AE250" s="50"/>
      <c r="AF250" s="50"/>
      <c r="AG250" s="50"/>
      <c r="AH250" s="50"/>
      <c r="AI250" s="50"/>
      <c r="AJ250" s="50"/>
      <c r="AK250" s="50"/>
      <c r="AL250" s="50"/>
      <c r="AM250" s="50"/>
      <c r="AN250" s="50"/>
      <c r="AO250" s="50"/>
      <c r="AP250" s="50"/>
      <c r="AQ250" s="50"/>
      <c r="AR250" s="50"/>
      <c r="AS250" s="50"/>
      <c r="AT250" s="50"/>
      <c r="AU250" s="50"/>
      <c r="AV250" s="50"/>
      <c r="AW250" s="50"/>
      <c r="AX250" s="50"/>
      <c r="AY250" s="50"/>
      <c r="AZ250" s="50"/>
      <c r="BA250" s="50"/>
      <c r="BB250" s="50"/>
      <c r="BC250" s="50"/>
      <c r="BD250" s="50"/>
      <c r="BE250" s="50"/>
      <c r="BF250" s="50"/>
      <c r="BG250" s="50"/>
      <c r="BH250" s="50"/>
      <c r="BI250" s="50"/>
      <c r="BJ250" s="50"/>
      <c r="BK250" s="50"/>
      <c r="BL250" s="50"/>
      <c r="BM250" s="50"/>
      <c r="BN250" s="50"/>
      <c r="BO250" s="50"/>
      <c r="BP250" s="50"/>
      <c r="BQ250" s="50"/>
      <c r="BR250" s="50"/>
      <c r="BS250" s="50"/>
      <c r="BT250" s="50"/>
      <c r="BU250" s="50"/>
      <c r="BV250" s="50"/>
      <c r="BW250" s="50"/>
      <c r="BX250" s="50"/>
    </row>
    <row r="251" spans="1:224" ht="13.5" customHeight="1">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c r="AA251" s="50"/>
      <c r="AB251" s="50"/>
      <c r="AC251" s="50"/>
      <c r="AD251" s="50"/>
      <c r="AE251" s="50"/>
      <c r="AF251" s="50"/>
      <c r="AG251" s="50"/>
      <c r="AH251" s="50"/>
      <c r="AI251" s="50"/>
      <c r="AJ251" s="50"/>
      <c r="AK251" s="50"/>
      <c r="AL251" s="50"/>
      <c r="AM251" s="50"/>
      <c r="AN251" s="50"/>
      <c r="AO251" s="50"/>
      <c r="AP251" s="50"/>
      <c r="AQ251" s="50"/>
      <c r="AR251" s="50"/>
      <c r="AS251" s="50"/>
      <c r="AT251" s="50"/>
      <c r="AU251" s="50"/>
      <c r="AV251" s="50"/>
      <c r="AW251" s="50"/>
      <c r="AX251" s="50"/>
      <c r="AY251" s="50"/>
      <c r="AZ251" s="50"/>
      <c r="BA251" s="50"/>
      <c r="BB251" s="50"/>
      <c r="BC251" s="50"/>
      <c r="BD251" s="50"/>
      <c r="BE251" s="50"/>
      <c r="BF251" s="50"/>
      <c r="BG251" s="50"/>
      <c r="BH251" s="50"/>
      <c r="BI251" s="50"/>
      <c r="BJ251" s="50"/>
      <c r="BK251" s="50"/>
      <c r="BL251" s="50"/>
      <c r="BM251" s="50"/>
      <c r="BN251" s="50"/>
      <c r="BO251" s="50"/>
      <c r="BP251" s="50"/>
      <c r="BQ251" s="50"/>
      <c r="BR251" s="50"/>
      <c r="BS251" s="50"/>
      <c r="BT251" s="50"/>
      <c r="BU251" s="50"/>
      <c r="BV251" s="50"/>
      <c r="BW251" s="50"/>
      <c r="BX251" s="50"/>
    </row>
    <row r="252" spans="1:224" ht="13.5" customHeight="1">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c r="AC252" s="50"/>
      <c r="AD252" s="50"/>
      <c r="AE252" s="50"/>
      <c r="AF252" s="50"/>
      <c r="AG252" s="50"/>
      <c r="AH252" s="50"/>
      <c r="AI252" s="50"/>
      <c r="AJ252" s="50"/>
      <c r="AK252" s="50"/>
      <c r="AL252" s="50"/>
      <c r="AM252" s="50"/>
      <c r="AN252" s="50"/>
      <c r="AO252" s="50"/>
      <c r="AP252" s="50"/>
      <c r="AQ252" s="50"/>
      <c r="AR252" s="50"/>
      <c r="AS252" s="50"/>
      <c r="AT252" s="50"/>
      <c r="AU252" s="50"/>
      <c r="AV252" s="50"/>
      <c r="AW252" s="50"/>
      <c r="AX252" s="50"/>
      <c r="AY252" s="50"/>
      <c r="AZ252" s="50"/>
      <c r="BA252" s="50"/>
      <c r="BB252" s="50"/>
      <c r="BC252" s="50"/>
      <c r="BD252" s="50"/>
      <c r="BE252" s="50"/>
      <c r="BF252" s="50"/>
      <c r="BG252" s="50"/>
      <c r="BH252" s="50"/>
      <c r="BI252" s="50"/>
      <c r="BJ252" s="50"/>
      <c r="BK252" s="50"/>
      <c r="BL252" s="50"/>
      <c r="BM252" s="50"/>
      <c r="BN252" s="50"/>
      <c r="BO252" s="50"/>
      <c r="BP252" s="50"/>
      <c r="BQ252" s="50"/>
      <c r="BR252" s="50"/>
      <c r="BS252" s="50"/>
      <c r="BT252" s="50"/>
      <c r="BU252" s="50"/>
      <c r="BV252" s="50"/>
      <c r="BW252" s="50"/>
      <c r="BX252" s="50"/>
    </row>
    <row r="253" spans="1:224" ht="13.5" customHeight="1">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50"/>
      <c r="AQ253" s="50"/>
      <c r="AR253" s="50"/>
      <c r="AS253" s="50"/>
      <c r="AT253" s="50"/>
      <c r="AU253" s="50"/>
      <c r="AV253" s="50"/>
      <c r="AW253" s="50"/>
      <c r="AX253" s="50"/>
      <c r="AY253" s="50"/>
      <c r="AZ253" s="50"/>
      <c r="BA253" s="50"/>
      <c r="BB253" s="50"/>
      <c r="BC253" s="50"/>
      <c r="BD253" s="50"/>
      <c r="BE253" s="50"/>
      <c r="BF253" s="50"/>
      <c r="BG253" s="50"/>
      <c r="BH253" s="50"/>
      <c r="BI253" s="50"/>
      <c r="BJ253" s="50"/>
      <c r="BK253" s="50"/>
      <c r="BL253" s="50"/>
      <c r="BM253" s="50"/>
      <c r="BN253" s="50"/>
      <c r="BO253" s="50"/>
      <c r="BP253" s="50"/>
      <c r="BQ253" s="50"/>
      <c r="BR253" s="50"/>
      <c r="BS253" s="50"/>
      <c r="BT253" s="50"/>
      <c r="BU253" s="50"/>
      <c r="BV253" s="50"/>
      <c r="BW253" s="50"/>
      <c r="BX253" s="50"/>
    </row>
    <row r="254" spans="1:224" ht="13.5" customHeight="1">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c r="AA254" s="50"/>
      <c r="AB254" s="50"/>
      <c r="AC254" s="50"/>
      <c r="AD254" s="50"/>
      <c r="AE254" s="50"/>
      <c r="AF254" s="50"/>
      <c r="AG254" s="50"/>
      <c r="AH254" s="50"/>
      <c r="AI254" s="50"/>
      <c r="AJ254" s="50"/>
      <c r="AK254" s="50"/>
      <c r="AL254" s="50"/>
      <c r="AM254" s="50"/>
      <c r="AN254" s="50"/>
      <c r="AO254" s="50"/>
      <c r="AP254" s="50"/>
      <c r="AQ254" s="50"/>
      <c r="AR254" s="50"/>
      <c r="AS254" s="50"/>
      <c r="AT254" s="50"/>
      <c r="AU254" s="50"/>
      <c r="AV254" s="50"/>
      <c r="AW254" s="50"/>
      <c r="AX254" s="50"/>
      <c r="AY254" s="50"/>
      <c r="AZ254" s="50"/>
      <c r="BA254" s="50"/>
      <c r="BB254" s="50"/>
      <c r="BC254" s="50"/>
      <c r="BD254" s="50"/>
      <c r="BE254" s="50"/>
      <c r="BF254" s="50"/>
      <c r="BG254" s="50"/>
      <c r="BH254" s="50"/>
      <c r="BI254" s="50"/>
      <c r="BJ254" s="50"/>
      <c r="BK254" s="50"/>
      <c r="BL254" s="50"/>
      <c r="BM254" s="50"/>
      <c r="BN254" s="50"/>
      <c r="BO254" s="50"/>
      <c r="BP254" s="50"/>
      <c r="BQ254" s="50"/>
      <c r="BR254" s="50"/>
      <c r="BS254" s="50"/>
      <c r="BT254" s="50"/>
      <c r="BU254" s="50"/>
      <c r="BV254" s="50"/>
      <c r="BW254" s="50"/>
      <c r="BX254" s="50"/>
    </row>
    <row r="255" spans="1:224" ht="13.5" customHeight="1">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c r="AS255" s="50"/>
      <c r="AT255" s="50"/>
      <c r="AU255" s="50"/>
      <c r="AV255" s="50"/>
      <c r="AW255" s="50"/>
      <c r="AX255" s="50"/>
      <c r="AY255" s="50"/>
      <c r="AZ255" s="50"/>
      <c r="BA255" s="50"/>
      <c r="BB255" s="50"/>
      <c r="BC255" s="50"/>
      <c r="BD255" s="50"/>
      <c r="BE255" s="50"/>
      <c r="BF255" s="50"/>
      <c r="BG255" s="50"/>
      <c r="BH255" s="50"/>
      <c r="BI255" s="50"/>
      <c r="BJ255" s="50"/>
      <c r="BK255" s="50"/>
      <c r="BL255" s="50"/>
      <c r="BM255" s="50"/>
      <c r="BN255" s="50"/>
      <c r="BO255" s="50"/>
      <c r="BP255" s="50"/>
      <c r="BQ255" s="50"/>
      <c r="BR255" s="50"/>
      <c r="BS255" s="50"/>
      <c r="BT255" s="50"/>
      <c r="BU255" s="50"/>
      <c r="BV255" s="50"/>
      <c r="BW255" s="50"/>
      <c r="BX255" s="50"/>
    </row>
    <row r="256" spans="1:224" ht="13.5" customHeight="1">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c r="AS256" s="50"/>
      <c r="AT256" s="50"/>
      <c r="AU256" s="50"/>
      <c r="AV256" s="50"/>
      <c r="AW256" s="50"/>
      <c r="AX256" s="50"/>
      <c r="AY256" s="50"/>
      <c r="AZ256" s="50"/>
      <c r="BA256" s="50"/>
      <c r="BB256" s="50"/>
      <c r="BC256" s="50"/>
      <c r="BD256" s="50"/>
      <c r="BE256" s="50"/>
      <c r="BF256" s="50"/>
      <c r="BG256" s="50"/>
      <c r="BH256" s="50"/>
      <c r="BI256" s="50"/>
      <c r="BJ256" s="50"/>
      <c r="BK256" s="50"/>
      <c r="BL256" s="50"/>
      <c r="BM256" s="50"/>
      <c r="BN256" s="50"/>
      <c r="BO256" s="50"/>
      <c r="BP256" s="50"/>
      <c r="BQ256" s="50"/>
      <c r="BR256" s="50"/>
      <c r="BS256" s="50"/>
      <c r="BT256" s="50"/>
      <c r="BU256" s="50"/>
      <c r="BV256" s="50"/>
      <c r="BW256" s="50"/>
      <c r="BX256" s="50"/>
    </row>
    <row r="257" spans="2:76" ht="13.5" customHeight="1">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c r="AA257" s="50"/>
      <c r="AB257" s="50"/>
      <c r="AC257" s="50"/>
      <c r="AD257" s="50"/>
      <c r="AE257" s="50"/>
      <c r="AF257" s="50"/>
      <c r="AG257" s="50"/>
      <c r="AH257" s="50"/>
      <c r="AI257" s="50"/>
      <c r="AJ257" s="50"/>
      <c r="AK257" s="50"/>
      <c r="AL257" s="50"/>
      <c r="AM257" s="50"/>
      <c r="AN257" s="50"/>
      <c r="AO257" s="50"/>
      <c r="AP257" s="50"/>
      <c r="AQ257" s="50"/>
      <c r="AR257" s="50"/>
      <c r="AS257" s="50"/>
      <c r="AT257" s="50"/>
      <c r="AU257" s="50"/>
      <c r="AV257" s="50"/>
      <c r="AW257" s="50"/>
      <c r="AX257" s="50"/>
      <c r="AY257" s="50"/>
      <c r="AZ257" s="50"/>
      <c r="BA257" s="50"/>
      <c r="BB257" s="50"/>
      <c r="BC257" s="50"/>
      <c r="BD257" s="50"/>
      <c r="BE257" s="50"/>
      <c r="BF257" s="50"/>
      <c r="BG257" s="50"/>
      <c r="BH257" s="50"/>
      <c r="BI257" s="50"/>
      <c r="BJ257" s="50"/>
      <c r="BK257" s="50"/>
      <c r="BL257" s="50"/>
      <c r="BM257" s="50"/>
      <c r="BN257" s="50"/>
      <c r="BO257" s="50"/>
      <c r="BP257" s="50"/>
      <c r="BQ257" s="50"/>
      <c r="BR257" s="50"/>
      <c r="BS257" s="50"/>
      <c r="BT257" s="50"/>
      <c r="BU257" s="50"/>
      <c r="BV257" s="50"/>
      <c r="BW257" s="50"/>
      <c r="BX257" s="50"/>
    </row>
    <row r="258" spans="2:76" ht="13.5" customHeight="1">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c r="AA258" s="50"/>
      <c r="AB258" s="50"/>
      <c r="AC258" s="50"/>
      <c r="AD258" s="50"/>
      <c r="AE258" s="50"/>
      <c r="AF258" s="50"/>
      <c r="AG258" s="50"/>
      <c r="AH258" s="50"/>
      <c r="AI258" s="50"/>
      <c r="AJ258" s="50"/>
      <c r="AK258" s="50"/>
      <c r="AL258" s="50"/>
      <c r="AM258" s="50"/>
      <c r="AN258" s="50"/>
      <c r="AO258" s="50"/>
      <c r="AP258" s="50"/>
      <c r="AQ258" s="50"/>
      <c r="AR258" s="50"/>
      <c r="AS258" s="50"/>
      <c r="AT258" s="50"/>
      <c r="AU258" s="50"/>
      <c r="AV258" s="50"/>
      <c r="AW258" s="50"/>
      <c r="AX258" s="50"/>
      <c r="AY258" s="50"/>
      <c r="AZ258" s="50"/>
      <c r="BA258" s="50"/>
      <c r="BB258" s="50"/>
      <c r="BC258" s="50"/>
      <c r="BD258" s="50"/>
      <c r="BE258" s="50"/>
      <c r="BF258" s="50"/>
      <c r="BG258" s="50"/>
      <c r="BH258" s="50"/>
      <c r="BI258" s="50"/>
      <c r="BJ258" s="50"/>
      <c r="BK258" s="50"/>
      <c r="BL258" s="50"/>
      <c r="BM258" s="50"/>
      <c r="BN258" s="50"/>
      <c r="BO258" s="50"/>
      <c r="BP258" s="50"/>
      <c r="BQ258" s="50"/>
      <c r="BR258" s="50"/>
      <c r="BS258" s="50"/>
      <c r="BT258" s="50"/>
      <c r="BU258" s="50"/>
      <c r="BV258" s="50"/>
      <c r="BW258" s="50"/>
      <c r="BX258" s="50"/>
    </row>
    <row r="259" spans="2:76" ht="13.5" customHeight="1">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c r="AA259" s="50"/>
      <c r="AB259" s="50"/>
      <c r="AC259" s="50"/>
      <c r="AD259" s="50"/>
      <c r="AE259" s="50"/>
      <c r="AF259" s="50"/>
      <c r="AG259" s="50"/>
      <c r="AH259" s="50"/>
      <c r="AI259" s="50"/>
      <c r="AJ259" s="50"/>
      <c r="AK259" s="50"/>
      <c r="AL259" s="50"/>
      <c r="AM259" s="50"/>
      <c r="AN259" s="50"/>
      <c r="AO259" s="50"/>
      <c r="AP259" s="50"/>
      <c r="AQ259" s="50"/>
      <c r="AR259" s="50"/>
      <c r="AS259" s="50"/>
      <c r="AT259" s="50"/>
      <c r="AU259" s="50"/>
      <c r="AV259" s="50"/>
      <c r="AW259" s="50"/>
      <c r="AX259" s="50"/>
      <c r="AY259" s="50"/>
      <c r="AZ259" s="50"/>
      <c r="BA259" s="50"/>
      <c r="BB259" s="50"/>
      <c r="BC259" s="50"/>
      <c r="BD259" s="50"/>
      <c r="BE259" s="50"/>
      <c r="BF259" s="50"/>
      <c r="BG259" s="50"/>
      <c r="BH259" s="50"/>
      <c r="BI259" s="50"/>
      <c r="BJ259" s="50"/>
      <c r="BK259" s="50"/>
      <c r="BL259" s="50"/>
      <c r="BM259" s="50"/>
      <c r="BN259" s="50"/>
      <c r="BO259" s="50"/>
      <c r="BP259" s="50"/>
      <c r="BQ259" s="50"/>
      <c r="BR259" s="50"/>
      <c r="BS259" s="50"/>
      <c r="BT259" s="50"/>
      <c r="BU259" s="50"/>
      <c r="BV259" s="50"/>
      <c r="BW259" s="50"/>
      <c r="BX259" s="50"/>
    </row>
    <row r="260" spans="2:76" ht="13.5" customHeight="1">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c r="AA260" s="50"/>
      <c r="AB260" s="50"/>
      <c r="AC260" s="50"/>
      <c r="AD260" s="50"/>
      <c r="AE260" s="50"/>
      <c r="AF260" s="50"/>
      <c r="AG260" s="50"/>
      <c r="AH260" s="50"/>
      <c r="AI260" s="50"/>
      <c r="AJ260" s="50"/>
      <c r="AK260" s="50"/>
      <c r="AL260" s="50"/>
      <c r="AM260" s="50"/>
      <c r="AN260" s="50"/>
      <c r="AO260" s="50"/>
      <c r="AP260" s="50"/>
      <c r="AQ260" s="50"/>
      <c r="AR260" s="50"/>
      <c r="AS260" s="50"/>
      <c r="AT260" s="50"/>
      <c r="AU260" s="50"/>
      <c r="AV260" s="50"/>
      <c r="AW260" s="50"/>
      <c r="AX260" s="50"/>
      <c r="AY260" s="50"/>
      <c r="AZ260" s="50"/>
      <c r="BA260" s="50"/>
      <c r="BB260" s="50"/>
      <c r="BC260" s="50"/>
      <c r="BD260" s="50"/>
      <c r="BE260" s="50"/>
      <c r="BF260" s="50"/>
      <c r="BG260" s="50"/>
      <c r="BH260" s="50"/>
      <c r="BI260" s="50"/>
      <c r="BJ260" s="50"/>
      <c r="BK260" s="50"/>
      <c r="BL260" s="50"/>
      <c r="BM260" s="50"/>
      <c r="BN260" s="50"/>
      <c r="BO260" s="50"/>
      <c r="BP260" s="50"/>
      <c r="BQ260" s="50"/>
      <c r="BR260" s="50"/>
      <c r="BS260" s="50"/>
      <c r="BT260" s="50"/>
      <c r="BU260" s="50"/>
      <c r="BV260" s="50"/>
      <c r="BW260" s="50"/>
      <c r="BX260" s="50"/>
    </row>
    <row r="261" spans="2:76" ht="13.5" customHeight="1">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c r="AA261" s="50"/>
      <c r="AB261" s="50"/>
      <c r="AC261" s="50"/>
      <c r="AD261" s="50"/>
      <c r="AE261" s="50"/>
      <c r="AF261" s="50"/>
      <c r="AG261" s="50"/>
      <c r="AH261" s="50"/>
      <c r="AI261" s="50"/>
      <c r="AJ261" s="50"/>
      <c r="AK261" s="50"/>
      <c r="AL261" s="50"/>
      <c r="AM261" s="50"/>
      <c r="AN261" s="50"/>
      <c r="AO261" s="50"/>
      <c r="AP261" s="50"/>
      <c r="AQ261" s="50"/>
      <c r="AR261" s="50"/>
      <c r="AS261" s="50"/>
      <c r="AT261" s="50"/>
      <c r="AU261" s="50"/>
      <c r="AV261" s="50"/>
      <c r="AW261" s="50"/>
      <c r="AX261" s="50"/>
      <c r="AY261" s="50"/>
      <c r="AZ261" s="50"/>
      <c r="BA261" s="50"/>
      <c r="BB261" s="50"/>
      <c r="BC261" s="50"/>
      <c r="BD261" s="50"/>
      <c r="BE261" s="50"/>
      <c r="BF261" s="50"/>
      <c r="BG261" s="50"/>
      <c r="BH261" s="50"/>
      <c r="BI261" s="50"/>
      <c r="BJ261" s="50"/>
      <c r="BK261" s="50"/>
      <c r="BL261" s="50"/>
      <c r="BM261" s="50"/>
      <c r="BN261" s="50"/>
      <c r="BO261" s="50"/>
      <c r="BP261" s="50"/>
      <c r="BQ261" s="50"/>
      <c r="BR261" s="50"/>
      <c r="BS261" s="50"/>
      <c r="BT261" s="50"/>
      <c r="BU261" s="50"/>
      <c r="BV261" s="50"/>
      <c r="BW261" s="50"/>
      <c r="BX261" s="50"/>
    </row>
    <row r="262" spans="2:76" ht="13.5" customHeight="1">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c r="AC262" s="50"/>
      <c r="AD262" s="50"/>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0"/>
    </row>
    <row r="263" spans="2:76" ht="13.5" customHeight="1">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c r="AI263" s="50"/>
      <c r="AJ263" s="50"/>
      <c r="AK263" s="50"/>
      <c r="AL263" s="50"/>
      <c r="AM263" s="50"/>
      <c r="AN263" s="50"/>
      <c r="AO263" s="50"/>
      <c r="AP263" s="50"/>
      <c r="AQ263" s="50"/>
      <c r="AR263" s="50"/>
      <c r="AS263" s="50"/>
      <c r="AT263" s="50"/>
      <c r="AU263" s="50"/>
      <c r="AV263" s="50"/>
      <c r="AW263" s="50"/>
      <c r="AX263" s="50"/>
      <c r="AY263" s="50"/>
      <c r="AZ263" s="50"/>
      <c r="BA263" s="50"/>
      <c r="BB263" s="50"/>
      <c r="BC263" s="50"/>
      <c r="BD263" s="50"/>
      <c r="BE263" s="50"/>
      <c r="BF263" s="50"/>
      <c r="BG263" s="50"/>
      <c r="BH263" s="50"/>
      <c r="BI263" s="50"/>
      <c r="BJ263" s="50"/>
      <c r="BK263" s="50"/>
      <c r="BL263" s="50"/>
      <c r="BM263" s="50"/>
      <c r="BN263" s="50"/>
      <c r="BO263" s="50"/>
      <c r="BP263" s="50"/>
      <c r="BQ263" s="50"/>
      <c r="BR263" s="50"/>
      <c r="BS263" s="50"/>
      <c r="BT263" s="50"/>
      <c r="BU263" s="50"/>
      <c r="BV263" s="50"/>
      <c r="BW263" s="50"/>
      <c r="BX263" s="50"/>
    </row>
    <row r="264" spans="2:76" ht="13.5" customHeight="1">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c r="AI264" s="50"/>
      <c r="AJ264" s="50"/>
      <c r="AK264" s="50"/>
      <c r="AL264" s="50"/>
      <c r="AM264" s="50"/>
      <c r="AN264" s="50"/>
      <c r="AO264" s="50"/>
      <c r="AP264" s="50"/>
      <c r="AQ264" s="50"/>
      <c r="AR264" s="50"/>
      <c r="AS264" s="50"/>
      <c r="AT264" s="50"/>
      <c r="AU264" s="50"/>
      <c r="AV264" s="50"/>
      <c r="AW264" s="50"/>
      <c r="AX264" s="50"/>
      <c r="AY264" s="50"/>
      <c r="AZ264" s="50"/>
      <c r="BA264" s="50"/>
      <c r="BB264" s="50"/>
      <c r="BC264" s="50"/>
      <c r="BD264" s="50"/>
      <c r="BE264" s="50"/>
      <c r="BF264" s="50"/>
      <c r="BG264" s="50"/>
      <c r="BH264" s="50"/>
      <c r="BI264" s="50"/>
      <c r="BJ264" s="50"/>
      <c r="BK264" s="50"/>
      <c r="BL264" s="50"/>
      <c r="BM264" s="50"/>
      <c r="BN264" s="50"/>
      <c r="BO264" s="50"/>
      <c r="BP264" s="50"/>
      <c r="BQ264" s="50"/>
      <c r="BR264" s="50"/>
      <c r="BS264" s="50"/>
      <c r="BT264" s="50"/>
      <c r="BU264" s="50"/>
      <c r="BV264" s="50"/>
      <c r="BW264" s="50"/>
      <c r="BX264" s="50"/>
    </row>
    <row r="265" spans="2:76" ht="13.5" customHeight="1">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c r="AI265" s="50"/>
      <c r="AJ265" s="50"/>
      <c r="AK265" s="50"/>
      <c r="AL265" s="50"/>
      <c r="AM265" s="50"/>
      <c r="AN265" s="50"/>
      <c r="AO265" s="50"/>
      <c r="AP265" s="50"/>
      <c r="AQ265" s="50"/>
      <c r="AR265" s="50"/>
      <c r="AS265" s="50"/>
      <c r="AT265" s="50"/>
      <c r="AU265" s="50"/>
      <c r="AV265" s="50"/>
      <c r="AW265" s="50"/>
      <c r="AX265" s="50"/>
      <c r="AY265" s="50"/>
      <c r="AZ265" s="50"/>
      <c r="BA265" s="50"/>
      <c r="BB265" s="50"/>
      <c r="BC265" s="50"/>
      <c r="BD265" s="50"/>
      <c r="BE265" s="50"/>
      <c r="BF265" s="50"/>
      <c r="BG265" s="50"/>
      <c r="BH265" s="50"/>
      <c r="BI265" s="50"/>
      <c r="BJ265" s="50"/>
      <c r="BK265" s="50"/>
      <c r="BL265" s="50"/>
      <c r="BM265" s="50"/>
      <c r="BN265" s="50"/>
      <c r="BO265" s="50"/>
      <c r="BP265" s="50"/>
      <c r="BQ265" s="50"/>
      <c r="BR265" s="50"/>
      <c r="BS265" s="50"/>
      <c r="BT265" s="50"/>
      <c r="BU265" s="50"/>
      <c r="BV265" s="50"/>
      <c r="BW265" s="50"/>
      <c r="BX265" s="50"/>
    </row>
    <row r="266" spans="2:76" ht="13.5" customHeight="1">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c r="AA266" s="50"/>
      <c r="AB266" s="50"/>
      <c r="AC266" s="50"/>
      <c r="AD266" s="50"/>
      <c r="AE266" s="50"/>
      <c r="AF266" s="50"/>
      <c r="AG266" s="50"/>
      <c r="AH266" s="50"/>
      <c r="AI266" s="50"/>
      <c r="AJ266" s="50"/>
      <c r="AK266" s="50"/>
      <c r="AL266" s="50"/>
      <c r="AM266" s="50"/>
      <c r="AN266" s="50"/>
      <c r="AO266" s="50"/>
      <c r="AP266" s="50"/>
      <c r="AQ266" s="50"/>
      <c r="AR266" s="50"/>
      <c r="AS266" s="50"/>
      <c r="AT266" s="50"/>
      <c r="AU266" s="50"/>
      <c r="AV266" s="50"/>
      <c r="AW266" s="50"/>
      <c r="AX266" s="50"/>
      <c r="AY266" s="50"/>
      <c r="AZ266" s="50"/>
      <c r="BA266" s="50"/>
      <c r="BB266" s="50"/>
      <c r="BC266" s="50"/>
      <c r="BD266" s="50"/>
      <c r="BE266" s="50"/>
      <c r="BF266" s="50"/>
      <c r="BG266" s="50"/>
      <c r="BH266" s="50"/>
      <c r="BI266" s="50"/>
      <c r="BJ266" s="50"/>
      <c r="BK266" s="50"/>
      <c r="BL266" s="50"/>
      <c r="BM266" s="50"/>
      <c r="BN266" s="50"/>
      <c r="BO266" s="50"/>
      <c r="BP266" s="50"/>
      <c r="BQ266" s="50"/>
      <c r="BR266" s="50"/>
      <c r="BS266" s="50"/>
      <c r="BT266" s="50"/>
      <c r="BU266" s="50"/>
      <c r="BV266" s="50"/>
      <c r="BW266" s="50"/>
      <c r="BX266" s="50"/>
    </row>
    <row r="267" spans="2:76" ht="13.5" customHeight="1">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c r="AA267" s="50"/>
      <c r="AB267" s="50"/>
      <c r="AC267" s="50"/>
      <c r="AD267" s="50"/>
      <c r="AE267" s="50"/>
      <c r="AF267" s="50"/>
      <c r="AG267" s="50"/>
      <c r="AH267" s="50"/>
      <c r="AI267" s="50"/>
      <c r="AJ267" s="50"/>
      <c r="AK267" s="50"/>
      <c r="AL267" s="50"/>
      <c r="AM267" s="50"/>
      <c r="AN267" s="50"/>
      <c r="AO267" s="50"/>
      <c r="AP267" s="50"/>
      <c r="AQ267" s="50"/>
      <c r="AR267" s="50"/>
      <c r="AS267" s="50"/>
      <c r="AT267" s="50"/>
      <c r="AU267" s="50"/>
      <c r="AV267" s="50"/>
      <c r="AW267" s="50"/>
      <c r="AX267" s="50"/>
      <c r="AY267" s="50"/>
      <c r="AZ267" s="50"/>
      <c r="BA267" s="50"/>
      <c r="BB267" s="50"/>
      <c r="BC267" s="50"/>
      <c r="BD267" s="50"/>
      <c r="BE267" s="50"/>
      <c r="BF267" s="50"/>
      <c r="BG267" s="50"/>
      <c r="BH267" s="50"/>
      <c r="BI267" s="50"/>
      <c r="BJ267" s="50"/>
      <c r="BK267" s="50"/>
      <c r="BL267" s="50"/>
      <c r="BM267" s="50"/>
      <c r="BN267" s="50"/>
      <c r="BO267" s="50"/>
      <c r="BP267" s="50"/>
      <c r="BQ267" s="50"/>
      <c r="BR267" s="50"/>
      <c r="BS267" s="50"/>
      <c r="BT267" s="50"/>
      <c r="BU267" s="50"/>
      <c r="BV267" s="50"/>
      <c r="BW267" s="50"/>
      <c r="BX267" s="50"/>
    </row>
    <row r="268" spans="2:76" ht="13.5" customHeight="1">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c r="AA268" s="50"/>
      <c r="AB268" s="50"/>
      <c r="AC268" s="50"/>
      <c r="AD268" s="50"/>
      <c r="AE268" s="50"/>
      <c r="AF268" s="50"/>
      <c r="AG268" s="50"/>
      <c r="AH268" s="50"/>
      <c r="AI268" s="50"/>
      <c r="AJ268" s="50"/>
      <c r="AK268" s="50"/>
      <c r="AL268" s="50"/>
      <c r="AM268" s="50"/>
      <c r="AN268" s="50"/>
      <c r="AO268" s="50"/>
      <c r="AP268" s="50"/>
      <c r="AQ268" s="50"/>
      <c r="AR268" s="50"/>
      <c r="AS268" s="50"/>
      <c r="AT268" s="50"/>
      <c r="AU268" s="50"/>
      <c r="AV268" s="50"/>
      <c r="AW268" s="50"/>
      <c r="AX268" s="50"/>
      <c r="AY268" s="50"/>
      <c r="AZ268" s="50"/>
      <c r="BA268" s="50"/>
      <c r="BB268" s="50"/>
      <c r="BC268" s="50"/>
      <c r="BD268" s="50"/>
      <c r="BE268" s="50"/>
      <c r="BF268" s="50"/>
      <c r="BG268" s="50"/>
      <c r="BH268" s="50"/>
      <c r="BI268" s="50"/>
      <c r="BJ268" s="50"/>
      <c r="BK268" s="50"/>
      <c r="BL268" s="50"/>
      <c r="BM268" s="50"/>
      <c r="BN268" s="50"/>
      <c r="BO268" s="50"/>
      <c r="BP268" s="50"/>
      <c r="BQ268" s="50"/>
      <c r="BR268" s="50"/>
      <c r="BS268" s="50"/>
      <c r="BT268" s="50"/>
      <c r="BU268" s="50"/>
      <c r="BV268" s="50"/>
      <c r="BW268" s="50"/>
      <c r="BX268" s="50"/>
    </row>
    <row r="269" spans="2:76" ht="13.5" customHeight="1">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c r="AA269" s="50"/>
      <c r="AB269" s="50"/>
      <c r="AC269" s="50"/>
      <c r="AD269" s="50"/>
      <c r="AE269" s="50"/>
      <c r="AF269" s="50"/>
      <c r="AG269" s="50"/>
      <c r="AH269" s="50"/>
      <c r="AI269" s="50"/>
      <c r="AJ269" s="50"/>
      <c r="AK269" s="50"/>
      <c r="AL269" s="50"/>
      <c r="AM269" s="50"/>
      <c r="AN269" s="50"/>
      <c r="AO269" s="50"/>
      <c r="AP269" s="50"/>
      <c r="AQ269" s="50"/>
      <c r="AR269" s="50"/>
      <c r="AS269" s="50"/>
      <c r="AT269" s="50"/>
      <c r="AU269" s="50"/>
      <c r="AV269" s="50"/>
      <c r="AW269" s="50"/>
      <c r="AX269" s="50"/>
      <c r="AY269" s="50"/>
      <c r="AZ269" s="50"/>
      <c r="BA269" s="50"/>
      <c r="BB269" s="50"/>
      <c r="BC269" s="50"/>
      <c r="BD269" s="50"/>
      <c r="BE269" s="50"/>
      <c r="BF269" s="50"/>
      <c r="BG269" s="50"/>
      <c r="BH269" s="50"/>
      <c r="BI269" s="50"/>
      <c r="BJ269" s="50"/>
      <c r="BK269" s="50"/>
      <c r="BL269" s="50"/>
      <c r="BM269" s="50"/>
      <c r="BN269" s="50"/>
      <c r="BO269" s="50"/>
      <c r="BP269" s="50"/>
      <c r="BQ269" s="50"/>
      <c r="BR269" s="50"/>
      <c r="BS269" s="50"/>
      <c r="BT269" s="50"/>
      <c r="BU269" s="50"/>
      <c r="BV269" s="50"/>
      <c r="BW269" s="50"/>
      <c r="BX269" s="50"/>
    </row>
    <row r="270" spans="2:76" ht="13.5" customHeight="1">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c r="AY270" s="50"/>
      <c r="AZ270" s="50"/>
      <c r="BA270" s="50"/>
      <c r="BB270" s="50"/>
      <c r="BC270" s="50"/>
      <c r="BD270" s="50"/>
      <c r="BE270" s="50"/>
      <c r="BF270" s="50"/>
      <c r="BG270" s="50"/>
      <c r="BH270" s="50"/>
      <c r="BI270" s="50"/>
      <c r="BJ270" s="50"/>
      <c r="BK270" s="50"/>
      <c r="BL270" s="50"/>
      <c r="BM270" s="50"/>
      <c r="BN270" s="50"/>
      <c r="BO270" s="50"/>
      <c r="BP270" s="50"/>
      <c r="BQ270" s="50"/>
      <c r="BR270" s="50"/>
      <c r="BS270" s="50"/>
      <c r="BT270" s="50"/>
      <c r="BU270" s="50"/>
      <c r="BV270" s="50"/>
      <c r="BW270" s="50"/>
      <c r="BX270" s="50"/>
    </row>
    <row r="271" spans="2:76" ht="13.5" customHeight="1">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c r="AA271" s="50"/>
      <c r="AB271" s="50"/>
      <c r="AC271" s="50"/>
      <c r="AD271" s="50"/>
      <c r="AE271" s="50"/>
      <c r="AF271" s="50"/>
      <c r="AG271" s="50"/>
      <c r="AH271" s="50"/>
      <c r="AI271" s="50"/>
      <c r="AJ271" s="50"/>
      <c r="AK271" s="50"/>
      <c r="AL271" s="50"/>
      <c r="AM271" s="50"/>
      <c r="AN271" s="50"/>
      <c r="AO271" s="50"/>
      <c r="AP271" s="50"/>
      <c r="AQ271" s="50"/>
      <c r="AR271" s="50"/>
      <c r="AS271" s="50"/>
      <c r="AT271" s="50"/>
      <c r="AU271" s="50"/>
      <c r="AV271" s="50"/>
      <c r="AW271" s="50"/>
      <c r="AX271" s="50"/>
      <c r="AY271" s="50"/>
      <c r="AZ271" s="50"/>
      <c r="BA271" s="50"/>
      <c r="BB271" s="50"/>
      <c r="BC271" s="50"/>
      <c r="BD271" s="50"/>
      <c r="BE271" s="50"/>
      <c r="BF271" s="50"/>
      <c r="BG271" s="50"/>
      <c r="BH271" s="50"/>
      <c r="BI271" s="50"/>
      <c r="BJ271" s="50"/>
      <c r="BK271" s="50"/>
      <c r="BL271" s="50"/>
      <c r="BM271" s="50"/>
      <c r="BN271" s="50"/>
      <c r="BO271" s="50"/>
      <c r="BP271" s="50"/>
      <c r="BQ271" s="50"/>
      <c r="BR271" s="50"/>
      <c r="BS271" s="50"/>
      <c r="BT271" s="50"/>
      <c r="BU271" s="50"/>
      <c r="BV271" s="50"/>
      <c r="BW271" s="50"/>
      <c r="BX271" s="50"/>
    </row>
    <row r="272" spans="2:76" ht="13.5" customHeight="1">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c r="AA272" s="50"/>
      <c r="AB272" s="50"/>
      <c r="AC272" s="50"/>
      <c r="AD272" s="50"/>
      <c r="AE272" s="50"/>
      <c r="AF272" s="50"/>
      <c r="AG272" s="50"/>
      <c r="AH272" s="50"/>
      <c r="AI272" s="50"/>
      <c r="AJ272" s="50"/>
      <c r="AK272" s="50"/>
      <c r="AL272" s="50"/>
      <c r="AM272" s="50"/>
      <c r="AN272" s="50"/>
      <c r="AO272" s="50"/>
      <c r="AP272" s="50"/>
      <c r="AQ272" s="50"/>
      <c r="AR272" s="50"/>
      <c r="AS272" s="50"/>
      <c r="AT272" s="50"/>
      <c r="AU272" s="50"/>
      <c r="AV272" s="50"/>
      <c r="AW272" s="50"/>
      <c r="AX272" s="50"/>
      <c r="AY272" s="50"/>
      <c r="AZ272" s="50"/>
      <c r="BA272" s="50"/>
      <c r="BB272" s="50"/>
      <c r="BC272" s="50"/>
      <c r="BD272" s="50"/>
      <c r="BE272" s="50"/>
      <c r="BF272" s="50"/>
      <c r="BG272" s="50"/>
      <c r="BH272" s="50"/>
      <c r="BI272" s="50"/>
      <c r="BJ272" s="50"/>
      <c r="BK272" s="50"/>
      <c r="BL272" s="50"/>
      <c r="BM272" s="50"/>
      <c r="BN272" s="50"/>
      <c r="BO272" s="50"/>
      <c r="BP272" s="50"/>
      <c r="BQ272" s="50"/>
      <c r="BR272" s="50"/>
      <c r="BS272" s="50"/>
      <c r="BT272" s="50"/>
      <c r="BU272" s="50"/>
      <c r="BV272" s="50"/>
      <c r="BW272" s="50"/>
      <c r="BX272" s="50"/>
    </row>
    <row r="273" spans="2:76" ht="13.5" customHeight="1">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c r="AA273" s="50"/>
      <c r="AB273" s="50"/>
      <c r="AC273" s="50"/>
      <c r="AD273" s="50"/>
      <c r="AE273" s="50"/>
      <c r="AF273" s="50"/>
      <c r="AG273" s="50"/>
      <c r="AH273" s="50"/>
      <c r="AI273" s="50"/>
      <c r="AJ273" s="50"/>
      <c r="AK273" s="50"/>
      <c r="AL273" s="50"/>
      <c r="AM273" s="50"/>
      <c r="AN273" s="50"/>
      <c r="AO273" s="50"/>
      <c r="AP273" s="50"/>
      <c r="AQ273" s="50"/>
      <c r="AR273" s="50"/>
      <c r="AS273" s="50"/>
      <c r="AT273" s="50"/>
      <c r="AU273" s="50"/>
      <c r="AV273" s="50"/>
      <c r="AW273" s="50"/>
      <c r="AX273" s="50"/>
      <c r="AY273" s="50"/>
      <c r="AZ273" s="50"/>
      <c r="BA273" s="50"/>
      <c r="BB273" s="50"/>
      <c r="BC273" s="50"/>
      <c r="BD273" s="50"/>
      <c r="BE273" s="50"/>
      <c r="BF273" s="50"/>
      <c r="BG273" s="50"/>
      <c r="BH273" s="50"/>
      <c r="BI273" s="50"/>
      <c r="BJ273" s="50"/>
      <c r="BK273" s="50"/>
      <c r="BL273" s="50"/>
      <c r="BM273" s="50"/>
      <c r="BN273" s="50"/>
      <c r="BO273" s="50"/>
      <c r="BP273" s="50"/>
      <c r="BQ273" s="50"/>
      <c r="BR273" s="50"/>
      <c r="BS273" s="50"/>
      <c r="BT273" s="50"/>
      <c r="BU273" s="50"/>
      <c r="BV273" s="50"/>
      <c r="BW273" s="50"/>
      <c r="BX273" s="50"/>
    </row>
    <row r="274" spans="2:76" ht="13.5" customHeight="1">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c r="AY274" s="50"/>
      <c r="AZ274" s="50"/>
      <c r="BA274" s="50"/>
      <c r="BB274" s="50"/>
      <c r="BC274" s="50"/>
      <c r="BD274" s="50"/>
      <c r="BE274" s="50"/>
      <c r="BF274" s="50"/>
      <c r="BG274" s="50"/>
      <c r="BH274" s="50"/>
      <c r="BI274" s="50"/>
      <c r="BJ274" s="50"/>
      <c r="BK274" s="50"/>
      <c r="BL274" s="50"/>
      <c r="BM274" s="50"/>
      <c r="BN274" s="50"/>
      <c r="BO274" s="50"/>
      <c r="BP274" s="50"/>
      <c r="BQ274" s="50"/>
      <c r="BR274" s="50"/>
      <c r="BS274" s="50"/>
      <c r="BT274" s="50"/>
      <c r="BU274" s="50"/>
      <c r="BV274" s="50"/>
      <c r="BW274" s="50"/>
      <c r="BX274" s="50"/>
    </row>
    <row r="275" spans="2:76" ht="13.5" customHeight="1">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c r="AY275" s="50"/>
      <c r="AZ275" s="50"/>
      <c r="BA275" s="50"/>
      <c r="BB275" s="50"/>
      <c r="BC275" s="50"/>
      <c r="BD275" s="50"/>
      <c r="BE275" s="50"/>
      <c r="BF275" s="50"/>
      <c r="BG275" s="50"/>
      <c r="BH275" s="50"/>
      <c r="BI275" s="50"/>
      <c r="BJ275" s="50"/>
      <c r="BK275" s="50"/>
      <c r="BL275" s="50"/>
      <c r="BM275" s="50"/>
      <c r="BN275" s="50"/>
      <c r="BO275" s="50"/>
      <c r="BP275" s="50"/>
      <c r="BQ275" s="50"/>
      <c r="BR275" s="50"/>
      <c r="BS275" s="50"/>
      <c r="BT275" s="50"/>
      <c r="BU275" s="50"/>
      <c r="BV275" s="50"/>
      <c r="BW275" s="50"/>
      <c r="BX275" s="50"/>
    </row>
    <row r="276" spans="2:76" ht="13.5" customHeight="1">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0"/>
    </row>
    <row r="277" spans="2:76" ht="13.5" customHeight="1">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c r="AA277" s="50"/>
      <c r="AB277" s="50"/>
      <c r="AC277" s="50"/>
      <c r="AD277" s="50"/>
      <c r="AE277" s="50"/>
      <c r="AF277" s="50"/>
      <c r="AG277" s="50"/>
      <c r="AH277" s="50"/>
      <c r="AI277" s="50"/>
      <c r="AJ277" s="50"/>
      <c r="AK277" s="50"/>
      <c r="AL277" s="50"/>
      <c r="AM277" s="50"/>
      <c r="AN277" s="50"/>
      <c r="AO277" s="50"/>
      <c r="AP277" s="50"/>
      <c r="AQ277" s="50"/>
      <c r="AR277" s="50"/>
      <c r="AS277" s="50"/>
      <c r="AT277" s="50"/>
      <c r="AU277" s="50"/>
      <c r="AV277" s="50"/>
      <c r="AW277" s="50"/>
      <c r="AX277" s="50"/>
      <c r="AY277" s="50"/>
      <c r="AZ277" s="50"/>
      <c r="BA277" s="50"/>
      <c r="BB277" s="50"/>
      <c r="BC277" s="50"/>
      <c r="BD277" s="50"/>
      <c r="BE277" s="50"/>
      <c r="BF277" s="50"/>
      <c r="BG277" s="50"/>
      <c r="BH277" s="50"/>
      <c r="BI277" s="50"/>
      <c r="BJ277" s="50"/>
      <c r="BK277" s="50"/>
      <c r="BL277" s="50"/>
      <c r="BM277" s="50"/>
      <c r="BN277" s="50"/>
      <c r="BO277" s="50"/>
      <c r="BP277" s="50"/>
      <c r="BQ277" s="50"/>
      <c r="BR277" s="50"/>
      <c r="BS277" s="50"/>
      <c r="BT277" s="50"/>
      <c r="BU277" s="50"/>
      <c r="BV277" s="50"/>
      <c r="BW277" s="50"/>
      <c r="BX277" s="50"/>
    </row>
    <row r="278" spans="2:76" ht="13.5" customHeight="1">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0"/>
      <c r="AI278" s="50"/>
      <c r="AJ278" s="50"/>
      <c r="AK278" s="50"/>
      <c r="AL278" s="50"/>
      <c r="AM278" s="50"/>
      <c r="AN278" s="50"/>
      <c r="AO278" s="50"/>
      <c r="AP278" s="50"/>
      <c r="AQ278" s="50"/>
      <c r="AR278" s="50"/>
      <c r="AS278" s="50"/>
      <c r="AT278" s="50"/>
      <c r="AU278" s="50"/>
      <c r="AV278" s="50"/>
      <c r="AW278" s="50"/>
      <c r="AX278" s="50"/>
      <c r="AY278" s="50"/>
      <c r="AZ278" s="50"/>
      <c r="BA278" s="50"/>
      <c r="BB278" s="50"/>
      <c r="BC278" s="50"/>
      <c r="BD278" s="50"/>
      <c r="BE278" s="50"/>
      <c r="BF278" s="50"/>
      <c r="BG278" s="50"/>
      <c r="BH278" s="50"/>
      <c r="BI278" s="50"/>
      <c r="BJ278" s="50"/>
      <c r="BK278" s="50"/>
      <c r="BL278" s="50"/>
      <c r="BM278" s="50"/>
      <c r="BN278" s="50"/>
      <c r="BO278" s="50"/>
      <c r="BP278" s="50"/>
      <c r="BQ278" s="50"/>
      <c r="BR278" s="50"/>
      <c r="BS278" s="50"/>
      <c r="BT278" s="50"/>
      <c r="BU278" s="50"/>
      <c r="BV278" s="50"/>
      <c r="BW278" s="50"/>
      <c r="BX278" s="50"/>
    </row>
    <row r="279" spans="2:76" ht="13.5" customHeight="1">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0"/>
      <c r="AI279" s="50"/>
      <c r="AJ279" s="50"/>
      <c r="AK279" s="50"/>
      <c r="AL279" s="50"/>
      <c r="AM279" s="50"/>
      <c r="AN279" s="50"/>
      <c r="AO279" s="50"/>
      <c r="AP279" s="50"/>
      <c r="AQ279" s="50"/>
      <c r="AR279" s="50"/>
      <c r="AS279" s="50"/>
      <c r="AT279" s="50"/>
      <c r="AU279" s="50"/>
      <c r="AV279" s="50"/>
      <c r="AW279" s="50"/>
      <c r="AX279" s="50"/>
      <c r="AY279" s="50"/>
      <c r="AZ279" s="50"/>
      <c r="BA279" s="50"/>
      <c r="BB279" s="50"/>
      <c r="BC279" s="50"/>
      <c r="BD279" s="50"/>
      <c r="BE279" s="50"/>
      <c r="BF279" s="50"/>
      <c r="BG279" s="50"/>
      <c r="BH279" s="50"/>
      <c r="BI279" s="50"/>
      <c r="BJ279" s="50"/>
      <c r="BK279" s="50"/>
      <c r="BL279" s="50"/>
      <c r="BM279" s="50"/>
      <c r="BN279" s="50"/>
      <c r="BO279" s="50"/>
      <c r="BP279" s="50"/>
      <c r="BQ279" s="50"/>
      <c r="BR279" s="50"/>
      <c r="BS279" s="50"/>
      <c r="BT279" s="50"/>
      <c r="BU279" s="50"/>
      <c r="BV279" s="50"/>
      <c r="BW279" s="50"/>
      <c r="BX279" s="50"/>
    </row>
    <row r="280" spans="2:76" ht="13.5" customHeight="1">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0"/>
    </row>
    <row r="281" spans="2:76" ht="13.5" customHeight="1">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0"/>
      <c r="AQ281" s="50"/>
      <c r="AR281" s="50"/>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0"/>
      <c r="BX281" s="50"/>
    </row>
    <row r="282" spans="2:76" ht="13.5" customHeight="1">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0"/>
    </row>
    <row r="283" spans="2:76" ht="13.5" customHeight="1">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0"/>
    </row>
    <row r="284" spans="2:76" ht="13.5" customHeight="1">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0"/>
      <c r="BW284" s="50"/>
      <c r="BX284" s="50"/>
    </row>
    <row r="285" spans="2:76" ht="13.5" customHeight="1">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0"/>
      <c r="BW285" s="50"/>
      <c r="BX285" s="50"/>
    </row>
    <row r="286" spans="2:76" ht="13.5" customHeight="1">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0"/>
      <c r="BW286" s="50"/>
      <c r="BX286" s="50"/>
    </row>
    <row r="287" spans="2:76" ht="13.5" customHeight="1">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0"/>
    </row>
    <row r="288" spans="2:76" ht="13.5" customHeight="1">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0"/>
    </row>
    <row r="289" spans="2:76" ht="13.5" customHeight="1">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c r="AA289" s="50"/>
      <c r="AB289" s="50"/>
      <c r="AC289" s="50"/>
      <c r="AD289" s="50"/>
      <c r="AE289" s="50"/>
      <c r="AF289" s="50"/>
      <c r="AG289" s="50"/>
      <c r="AH289" s="50"/>
      <c r="AI289" s="50"/>
      <c r="AJ289" s="50"/>
      <c r="AK289" s="50"/>
      <c r="AL289" s="50"/>
      <c r="AM289" s="50"/>
      <c r="AN289" s="50"/>
      <c r="AO289" s="50"/>
      <c r="AP289" s="50"/>
      <c r="AQ289" s="50"/>
      <c r="AR289" s="50"/>
      <c r="AS289" s="50"/>
      <c r="AT289" s="50"/>
      <c r="AU289" s="50"/>
      <c r="AV289" s="50"/>
      <c r="AW289" s="50"/>
      <c r="AX289" s="50"/>
      <c r="AY289" s="50"/>
      <c r="AZ289" s="50"/>
      <c r="BA289" s="50"/>
      <c r="BB289" s="50"/>
      <c r="BC289" s="50"/>
      <c r="BD289" s="50"/>
      <c r="BE289" s="50"/>
      <c r="BF289" s="50"/>
      <c r="BG289" s="50"/>
      <c r="BH289" s="50"/>
      <c r="BI289" s="50"/>
      <c r="BJ289" s="50"/>
      <c r="BK289" s="50"/>
      <c r="BL289" s="50"/>
      <c r="BM289" s="50"/>
      <c r="BN289" s="50"/>
      <c r="BO289" s="50"/>
      <c r="BP289" s="50"/>
      <c r="BQ289" s="50"/>
      <c r="BR289" s="50"/>
      <c r="BS289" s="50"/>
      <c r="BT289" s="50"/>
      <c r="BU289" s="50"/>
      <c r="BV289" s="50"/>
      <c r="BW289" s="50"/>
      <c r="BX289" s="50"/>
    </row>
    <row r="290" spans="2:76" ht="13.5" customHeight="1">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0"/>
    </row>
    <row r="291" spans="2:76" ht="13.5" customHeight="1">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c r="AY291" s="50"/>
      <c r="AZ291" s="50"/>
      <c r="BA291" s="50"/>
      <c r="BB291" s="50"/>
      <c r="BC291" s="50"/>
      <c r="BD291" s="50"/>
      <c r="BE291" s="50"/>
      <c r="BF291" s="50"/>
      <c r="BG291" s="50"/>
      <c r="BH291" s="50"/>
      <c r="BI291" s="50"/>
      <c r="BJ291" s="50"/>
      <c r="BK291" s="50"/>
      <c r="BL291" s="50"/>
      <c r="BM291" s="50"/>
      <c r="BN291" s="50"/>
      <c r="BO291" s="50"/>
      <c r="BP291" s="50"/>
      <c r="BQ291" s="50"/>
      <c r="BR291" s="50"/>
      <c r="BS291" s="50"/>
      <c r="BT291" s="50"/>
      <c r="BU291" s="50"/>
      <c r="BV291" s="50"/>
      <c r="BW291" s="50"/>
      <c r="BX291" s="50"/>
    </row>
    <row r="292" spans="2:76" ht="13.5" customHeight="1">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0"/>
    </row>
    <row r="293" spans="2:76" ht="13.5" customHeight="1">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0"/>
    </row>
  </sheetData>
  <mergeCells count="954">
    <mergeCell ref="A20:B25"/>
    <mergeCell ref="C20:E20"/>
    <mergeCell ref="F20:G20"/>
    <mergeCell ref="H20:I20"/>
    <mergeCell ref="J20:K20"/>
    <mergeCell ref="L20:AL20"/>
    <mergeCell ref="AM20:AR20"/>
    <mergeCell ref="AS20:AZ20"/>
    <mergeCell ref="BA21:BG21"/>
    <mergeCell ref="AM23:AR23"/>
    <mergeCell ref="AS23:AZ23"/>
    <mergeCell ref="BA23:BG23"/>
    <mergeCell ref="L21:AL22"/>
    <mergeCell ref="BA20:BG20"/>
    <mergeCell ref="BH24:BL24"/>
    <mergeCell ref="C25:E25"/>
    <mergeCell ref="F25:G25"/>
    <mergeCell ref="H25:I25"/>
    <mergeCell ref="J25:K25"/>
    <mergeCell ref="AM25:AR25"/>
    <mergeCell ref="AS25:AZ25"/>
    <mergeCell ref="BA25:BG25"/>
    <mergeCell ref="BH25:BL25"/>
    <mergeCell ref="L24:AL25"/>
    <mergeCell ref="AS24:AZ24"/>
    <mergeCell ref="BA24:BG24"/>
    <mergeCell ref="BH20:BL20"/>
    <mergeCell ref="BM20:BN25"/>
    <mergeCell ref="BO20:BP25"/>
    <mergeCell ref="BQ20:BR25"/>
    <mergeCell ref="BS20:BT25"/>
    <mergeCell ref="BU20:BV25"/>
    <mergeCell ref="BW20:BX25"/>
    <mergeCell ref="C21:K21"/>
    <mergeCell ref="AM21:AR21"/>
    <mergeCell ref="AS21:AZ21"/>
    <mergeCell ref="BH21:BL21"/>
    <mergeCell ref="C22:E22"/>
    <mergeCell ref="F22:G22"/>
    <mergeCell ref="H22:I22"/>
    <mergeCell ref="J22:K22"/>
    <mergeCell ref="AM22:AR22"/>
    <mergeCell ref="AS22:AZ22"/>
    <mergeCell ref="BA22:BG22"/>
    <mergeCell ref="BH22:BL22"/>
    <mergeCell ref="C23:K23"/>
    <mergeCell ref="L23:AL23"/>
    <mergeCell ref="BH23:BL23"/>
    <mergeCell ref="C24:K24"/>
    <mergeCell ref="AM24:AR24"/>
    <mergeCell ref="B217:BW241"/>
    <mergeCell ref="BM86:BN91"/>
    <mergeCell ref="BO86:BP91"/>
    <mergeCell ref="BQ86:BR91"/>
    <mergeCell ref="BS86:BT91"/>
    <mergeCell ref="BU86:BV91"/>
    <mergeCell ref="BW86:BX91"/>
    <mergeCell ref="C87:K87"/>
    <mergeCell ref="L87:AL91"/>
    <mergeCell ref="AM87:AR87"/>
    <mergeCell ref="AS87:AZ87"/>
    <mergeCell ref="BA87:BG87"/>
    <mergeCell ref="BH87:BL87"/>
    <mergeCell ref="C88:E88"/>
    <mergeCell ref="F88:G88"/>
    <mergeCell ref="H88:I88"/>
    <mergeCell ref="J88:K88"/>
    <mergeCell ref="AM88:AR88"/>
    <mergeCell ref="AS88:AZ88"/>
    <mergeCell ref="BA88:BG88"/>
    <mergeCell ref="BH88:BL88"/>
    <mergeCell ref="C89:K89"/>
    <mergeCell ref="AM89:AR89"/>
    <mergeCell ref="AS89:AZ89"/>
    <mergeCell ref="BA89:BG89"/>
    <mergeCell ref="AS90:AZ90"/>
    <mergeCell ref="BA90:BG90"/>
    <mergeCell ref="BH90:BL90"/>
    <mergeCell ref="F91:G91"/>
    <mergeCell ref="H91:I91"/>
    <mergeCell ref="J91:K91"/>
    <mergeCell ref="AM91:AR91"/>
    <mergeCell ref="AS91:AZ91"/>
    <mergeCell ref="BA91:BG91"/>
    <mergeCell ref="BM92:BN97"/>
    <mergeCell ref="BO92:BP97"/>
    <mergeCell ref="BQ92:BR97"/>
    <mergeCell ref="BS92:BT97"/>
    <mergeCell ref="BU92:BV97"/>
    <mergeCell ref="BW92:BX97"/>
    <mergeCell ref="C93:K93"/>
    <mergeCell ref="L93:AL97"/>
    <mergeCell ref="AM93:AR93"/>
    <mergeCell ref="AS93:AZ93"/>
    <mergeCell ref="BA93:BG93"/>
    <mergeCell ref="BH93:BL93"/>
    <mergeCell ref="C94:E94"/>
    <mergeCell ref="F94:G94"/>
    <mergeCell ref="H94:I94"/>
    <mergeCell ref="J94:K94"/>
    <mergeCell ref="AM94:AR94"/>
    <mergeCell ref="AS94:AZ94"/>
    <mergeCell ref="BA94:BG94"/>
    <mergeCell ref="BH94:BL94"/>
    <mergeCell ref="C95:K95"/>
    <mergeCell ref="AM95:AR95"/>
    <mergeCell ref="BH97:BL97"/>
    <mergeCell ref="BA92:BG92"/>
    <mergeCell ref="A92:B97"/>
    <mergeCell ref="C92:E92"/>
    <mergeCell ref="F92:G92"/>
    <mergeCell ref="H92:I92"/>
    <mergeCell ref="J92:K92"/>
    <mergeCell ref="L92:AL92"/>
    <mergeCell ref="AM92:AR92"/>
    <mergeCell ref="AS92:AZ92"/>
    <mergeCell ref="BH91:BL91"/>
    <mergeCell ref="BH96:BL96"/>
    <mergeCell ref="C91:E91"/>
    <mergeCell ref="A86:B91"/>
    <mergeCell ref="C86:E86"/>
    <mergeCell ref="F86:G86"/>
    <mergeCell ref="H86:I86"/>
    <mergeCell ref="J86:K86"/>
    <mergeCell ref="L86:AL86"/>
    <mergeCell ref="AM86:AR86"/>
    <mergeCell ref="AS86:AZ86"/>
    <mergeCell ref="BA86:BG86"/>
    <mergeCell ref="BH86:BL86"/>
    <mergeCell ref="BH89:BL89"/>
    <mergeCell ref="C90:K90"/>
    <mergeCell ref="AM90:AR90"/>
    <mergeCell ref="C96:K96"/>
    <mergeCell ref="AM96:AR96"/>
    <mergeCell ref="AS96:AZ96"/>
    <mergeCell ref="BA96:BG96"/>
    <mergeCell ref="BA95:BG95"/>
    <mergeCell ref="C97:E97"/>
    <mergeCell ref="F97:G97"/>
    <mergeCell ref="H97:I97"/>
    <mergeCell ref="J97:K97"/>
    <mergeCell ref="AM97:AR97"/>
    <mergeCell ref="AS97:AZ97"/>
    <mergeCell ref="BA97:BG97"/>
    <mergeCell ref="AS95:AZ95"/>
    <mergeCell ref="BM74:BN79"/>
    <mergeCell ref="BO74:BP79"/>
    <mergeCell ref="BQ74:BR79"/>
    <mergeCell ref="BS74:BT79"/>
    <mergeCell ref="BU74:BV79"/>
    <mergeCell ref="BW74:BX79"/>
    <mergeCell ref="C75:K75"/>
    <mergeCell ref="L75:AL79"/>
    <mergeCell ref="AM75:AR75"/>
    <mergeCell ref="AS75:AZ75"/>
    <mergeCell ref="BA75:BG75"/>
    <mergeCell ref="BH75:BL75"/>
    <mergeCell ref="C76:E76"/>
    <mergeCell ref="F76:G76"/>
    <mergeCell ref="H76:I76"/>
    <mergeCell ref="J76:K76"/>
    <mergeCell ref="AM76:AR76"/>
    <mergeCell ref="AS76:AZ76"/>
    <mergeCell ref="BA76:BG76"/>
    <mergeCell ref="BH76:BL76"/>
    <mergeCell ref="C77:K77"/>
    <mergeCell ref="AM77:AR77"/>
    <mergeCell ref="AS77:AZ77"/>
    <mergeCell ref="BA77:BG77"/>
    <mergeCell ref="A74:B79"/>
    <mergeCell ref="C74:E74"/>
    <mergeCell ref="F74:G74"/>
    <mergeCell ref="H74:I74"/>
    <mergeCell ref="J74:K74"/>
    <mergeCell ref="L74:AL74"/>
    <mergeCell ref="AM74:AR74"/>
    <mergeCell ref="AS74:AZ74"/>
    <mergeCell ref="BA74:BG74"/>
    <mergeCell ref="C78:K78"/>
    <mergeCell ref="AM78:AR78"/>
    <mergeCell ref="AS78:AZ78"/>
    <mergeCell ref="BA78:BG78"/>
    <mergeCell ref="C79:E79"/>
    <mergeCell ref="F79:G79"/>
    <mergeCell ref="H79:I79"/>
    <mergeCell ref="J79:K79"/>
    <mergeCell ref="AM79:AR79"/>
    <mergeCell ref="AS79:AZ79"/>
    <mergeCell ref="BA79:BG79"/>
    <mergeCell ref="BS80:BT85"/>
    <mergeCell ref="BU80:BV85"/>
    <mergeCell ref="BW80:BX85"/>
    <mergeCell ref="C81:K81"/>
    <mergeCell ref="L81:AL85"/>
    <mergeCell ref="AM81:AR81"/>
    <mergeCell ref="AS81:AZ81"/>
    <mergeCell ref="BA81:BG81"/>
    <mergeCell ref="BH81:BL81"/>
    <mergeCell ref="C82:E82"/>
    <mergeCell ref="F82:G82"/>
    <mergeCell ref="H82:I82"/>
    <mergeCell ref="J82:K82"/>
    <mergeCell ref="AM82:AR82"/>
    <mergeCell ref="AS82:AZ82"/>
    <mergeCell ref="BA82:BG82"/>
    <mergeCell ref="BH82:BL82"/>
    <mergeCell ref="C83:K83"/>
    <mergeCell ref="AM83:AR83"/>
    <mergeCell ref="AS83:AZ83"/>
    <mergeCell ref="BA83:BG83"/>
    <mergeCell ref="A80:B85"/>
    <mergeCell ref="C80:E80"/>
    <mergeCell ref="F80:G80"/>
    <mergeCell ref="H80:I80"/>
    <mergeCell ref="J80:K80"/>
    <mergeCell ref="L80:AL80"/>
    <mergeCell ref="AM80:AR80"/>
    <mergeCell ref="AS80:AZ80"/>
    <mergeCell ref="BA80:BG80"/>
    <mergeCell ref="C84:K84"/>
    <mergeCell ref="AM84:AR84"/>
    <mergeCell ref="AS84:AZ84"/>
    <mergeCell ref="BA84:BG84"/>
    <mergeCell ref="C85:E85"/>
    <mergeCell ref="F85:G85"/>
    <mergeCell ref="H85:I85"/>
    <mergeCell ref="J85:K85"/>
    <mergeCell ref="AM85:AR85"/>
    <mergeCell ref="AS85:AZ85"/>
    <mergeCell ref="BA85:BG85"/>
    <mergeCell ref="BQ56:BR61"/>
    <mergeCell ref="BS56:BT61"/>
    <mergeCell ref="BU56:BV61"/>
    <mergeCell ref="BW56:BX61"/>
    <mergeCell ref="C57:K57"/>
    <mergeCell ref="L57:AL61"/>
    <mergeCell ref="AM57:AR57"/>
    <mergeCell ref="AS57:AZ57"/>
    <mergeCell ref="BA57:BG57"/>
    <mergeCell ref="BH57:BL57"/>
    <mergeCell ref="C58:E58"/>
    <mergeCell ref="F58:G58"/>
    <mergeCell ref="H58:I58"/>
    <mergeCell ref="J58:K58"/>
    <mergeCell ref="AM58:AR58"/>
    <mergeCell ref="AS58:AZ58"/>
    <mergeCell ref="BA58:BG58"/>
    <mergeCell ref="BH58:BL58"/>
    <mergeCell ref="C59:K59"/>
    <mergeCell ref="AM59:AR59"/>
    <mergeCell ref="AS59:AZ59"/>
    <mergeCell ref="BA59:BG59"/>
    <mergeCell ref="C61:E61"/>
    <mergeCell ref="F61:G61"/>
    <mergeCell ref="BH56:BL56"/>
    <mergeCell ref="BH59:BL59"/>
    <mergeCell ref="C60:K60"/>
    <mergeCell ref="AM60:AR60"/>
    <mergeCell ref="AS60:AZ60"/>
    <mergeCell ref="BA60:BG60"/>
    <mergeCell ref="BH60:BL60"/>
    <mergeCell ref="BM56:BN61"/>
    <mergeCell ref="BO56:BP61"/>
    <mergeCell ref="H61:I61"/>
    <mergeCell ref="J61:K61"/>
    <mergeCell ref="AM61:AR61"/>
    <mergeCell ref="AS61:AZ61"/>
    <mergeCell ref="BA61:BG61"/>
    <mergeCell ref="BH61:BL61"/>
    <mergeCell ref="A56:B61"/>
    <mergeCell ref="C56:E56"/>
    <mergeCell ref="F56:G56"/>
    <mergeCell ref="H56:I56"/>
    <mergeCell ref="J56:K56"/>
    <mergeCell ref="L56:AL56"/>
    <mergeCell ref="AM56:AR56"/>
    <mergeCell ref="AS56:AZ56"/>
    <mergeCell ref="BA56:BG56"/>
    <mergeCell ref="C66:K66"/>
    <mergeCell ref="AM66:AR66"/>
    <mergeCell ref="AS66:AZ66"/>
    <mergeCell ref="BA66:BG66"/>
    <mergeCell ref="BH66:BL66"/>
    <mergeCell ref="C67:E67"/>
    <mergeCell ref="F67:G67"/>
    <mergeCell ref="H67:I67"/>
    <mergeCell ref="J67:K67"/>
    <mergeCell ref="AM67:AR67"/>
    <mergeCell ref="AS67:AZ67"/>
    <mergeCell ref="BA67:BG67"/>
    <mergeCell ref="BH67:BL67"/>
    <mergeCell ref="BM62:BN67"/>
    <mergeCell ref="BO62:BP67"/>
    <mergeCell ref="BQ62:BR67"/>
    <mergeCell ref="BS62:BT67"/>
    <mergeCell ref="BU62:BV67"/>
    <mergeCell ref="BW62:BX67"/>
    <mergeCell ref="C63:K63"/>
    <mergeCell ref="L63:AL67"/>
    <mergeCell ref="AM63:AR63"/>
    <mergeCell ref="AS63:AZ63"/>
    <mergeCell ref="BA63:BG63"/>
    <mergeCell ref="BH63:BL63"/>
    <mergeCell ref="C64:E64"/>
    <mergeCell ref="F64:G64"/>
    <mergeCell ref="H64:I64"/>
    <mergeCell ref="J64:K64"/>
    <mergeCell ref="AM64:AR64"/>
    <mergeCell ref="AS64:AZ64"/>
    <mergeCell ref="BA64:BG64"/>
    <mergeCell ref="BH64:BL64"/>
    <mergeCell ref="C65:K65"/>
    <mergeCell ref="AM65:AR65"/>
    <mergeCell ref="AS65:AZ65"/>
    <mergeCell ref="BA65:BG65"/>
    <mergeCell ref="BS68:BT73"/>
    <mergeCell ref="BU68:BV73"/>
    <mergeCell ref="BW68:BX73"/>
    <mergeCell ref="C69:K69"/>
    <mergeCell ref="L69:AL73"/>
    <mergeCell ref="AM69:AR69"/>
    <mergeCell ref="AS69:AZ69"/>
    <mergeCell ref="BA69:BG69"/>
    <mergeCell ref="BH69:BL69"/>
    <mergeCell ref="C70:E70"/>
    <mergeCell ref="F70:G70"/>
    <mergeCell ref="H70:I70"/>
    <mergeCell ref="J70:K70"/>
    <mergeCell ref="AM70:AR70"/>
    <mergeCell ref="AS70:AZ70"/>
    <mergeCell ref="BA70:BG70"/>
    <mergeCell ref="BH70:BL70"/>
    <mergeCell ref="C71:K71"/>
    <mergeCell ref="AM71:AR71"/>
    <mergeCell ref="AS71:AZ71"/>
    <mergeCell ref="BA71:BG71"/>
    <mergeCell ref="C73:E73"/>
    <mergeCell ref="F73:G73"/>
    <mergeCell ref="H73:I73"/>
    <mergeCell ref="BM68:BN73"/>
    <mergeCell ref="BO68:BP73"/>
    <mergeCell ref="BQ68:BR73"/>
    <mergeCell ref="L99:AL103"/>
    <mergeCell ref="BH101:BL101"/>
    <mergeCell ref="C102:K102"/>
    <mergeCell ref="AM102:AR102"/>
    <mergeCell ref="AS102:AZ102"/>
    <mergeCell ref="BA102:BG102"/>
    <mergeCell ref="BH102:BL102"/>
    <mergeCell ref="C103:E103"/>
    <mergeCell ref="F103:G103"/>
    <mergeCell ref="H103:I103"/>
    <mergeCell ref="J103:K103"/>
    <mergeCell ref="AM103:AR103"/>
    <mergeCell ref="AS103:AZ103"/>
    <mergeCell ref="BA103:BG103"/>
    <mergeCell ref="BH103:BL103"/>
    <mergeCell ref="BH78:BL78"/>
    <mergeCell ref="BH79:BL79"/>
    <mergeCell ref="BH92:BL92"/>
    <mergeCell ref="BM80:BN85"/>
    <mergeCell ref="BO80:BP85"/>
    <mergeCell ref="BQ80:BR85"/>
    <mergeCell ref="BH95:BL95"/>
    <mergeCell ref="A62:B67"/>
    <mergeCell ref="C62:E62"/>
    <mergeCell ref="F62:G62"/>
    <mergeCell ref="H62:I62"/>
    <mergeCell ref="J62:K62"/>
    <mergeCell ref="L62:AL62"/>
    <mergeCell ref="BA68:BG68"/>
    <mergeCell ref="BH68:BL68"/>
    <mergeCell ref="BH71:BL71"/>
    <mergeCell ref="A68:B73"/>
    <mergeCell ref="C68:E68"/>
    <mergeCell ref="F68:G68"/>
    <mergeCell ref="H68:I68"/>
    <mergeCell ref="J68:K68"/>
    <mergeCell ref="L68:AL68"/>
    <mergeCell ref="AM68:AR68"/>
    <mergeCell ref="AS68:AZ68"/>
    <mergeCell ref="C72:K72"/>
    <mergeCell ref="AM72:AR72"/>
    <mergeCell ref="AS72:AZ72"/>
    <mergeCell ref="J73:K73"/>
    <mergeCell ref="AM73:AR73"/>
    <mergeCell ref="AS73:AZ73"/>
    <mergeCell ref="P125:Q125"/>
    <mergeCell ref="P126:Q126"/>
    <mergeCell ref="P127:Q127"/>
    <mergeCell ref="C128:O128"/>
    <mergeCell ref="BA72:BG72"/>
    <mergeCell ref="BH72:BL72"/>
    <mergeCell ref="BA73:BG73"/>
    <mergeCell ref="BH73:BL73"/>
    <mergeCell ref="AM62:AR62"/>
    <mergeCell ref="AU108:AV108"/>
    <mergeCell ref="AH108:AT108"/>
    <mergeCell ref="AU111:AV111"/>
    <mergeCell ref="AF111:AG111"/>
    <mergeCell ref="AW111:BI111"/>
    <mergeCell ref="AS62:AZ62"/>
    <mergeCell ref="BA62:BG62"/>
    <mergeCell ref="BH62:BL62"/>
    <mergeCell ref="BH65:BL65"/>
    <mergeCell ref="BH80:BL80"/>
    <mergeCell ref="BH83:BL83"/>
    <mergeCell ref="BH84:BL84"/>
    <mergeCell ref="BH85:BL85"/>
    <mergeCell ref="BH74:BL74"/>
    <mergeCell ref="BH77:BL77"/>
    <mergeCell ref="C113:O113"/>
    <mergeCell ref="P113:Q113"/>
    <mergeCell ref="AF113:AG113"/>
    <mergeCell ref="C114:O114"/>
    <mergeCell ref="C129:O129"/>
    <mergeCell ref="P129:Q129"/>
    <mergeCell ref="AF114:AG114"/>
    <mergeCell ref="AF117:AG117"/>
    <mergeCell ref="AF122:AG122"/>
    <mergeCell ref="R127:AE127"/>
    <mergeCell ref="AF127:AG127"/>
    <mergeCell ref="R125:AE125"/>
    <mergeCell ref="AF125:AG125"/>
    <mergeCell ref="C120:Q120"/>
    <mergeCell ref="AF121:AG121"/>
    <mergeCell ref="C117:O117"/>
    <mergeCell ref="P117:Q117"/>
    <mergeCell ref="C116:O116"/>
    <mergeCell ref="P116:Q116"/>
    <mergeCell ref="C118:O118"/>
    <mergeCell ref="P118:Q118"/>
    <mergeCell ref="P122:Q122"/>
    <mergeCell ref="P123:Q123"/>
    <mergeCell ref="P124:Q124"/>
    <mergeCell ref="BU98:BV103"/>
    <mergeCell ref="BW98:BX103"/>
    <mergeCell ref="C99:K99"/>
    <mergeCell ref="AM99:AR99"/>
    <mergeCell ref="AS99:AZ99"/>
    <mergeCell ref="BA99:BG99"/>
    <mergeCell ref="BH99:BL99"/>
    <mergeCell ref="C100:E100"/>
    <mergeCell ref="F100:G100"/>
    <mergeCell ref="H100:I100"/>
    <mergeCell ref="J100:K100"/>
    <mergeCell ref="AM100:AR100"/>
    <mergeCell ref="AS100:AZ100"/>
    <mergeCell ref="BA100:BG100"/>
    <mergeCell ref="BH100:BL100"/>
    <mergeCell ref="C101:K101"/>
    <mergeCell ref="BA98:BG98"/>
    <mergeCell ref="AM101:AR101"/>
    <mergeCell ref="AS101:AZ101"/>
    <mergeCell ref="BA101:BG101"/>
    <mergeCell ref="BH98:BL98"/>
    <mergeCell ref="BM98:BN103"/>
    <mergeCell ref="BO98:BP103"/>
    <mergeCell ref="BQ98:BR103"/>
    <mergeCell ref="BS98:BT103"/>
    <mergeCell ref="AU128:AV128"/>
    <mergeCell ref="AU130:AV130"/>
    <mergeCell ref="A98:B103"/>
    <mergeCell ref="C98:E98"/>
    <mergeCell ref="F98:G98"/>
    <mergeCell ref="H98:I98"/>
    <mergeCell ref="J98:K98"/>
    <mergeCell ref="L98:AL98"/>
    <mergeCell ref="AM98:AR98"/>
    <mergeCell ref="AS98:AZ98"/>
    <mergeCell ref="AU126:AV126"/>
    <mergeCell ref="AU127:AV127"/>
    <mergeCell ref="AF128:AG128"/>
    <mergeCell ref="AW127:BI127"/>
    <mergeCell ref="BJ127:BK127"/>
    <mergeCell ref="AW126:BI126"/>
    <mergeCell ref="BJ126:BK126"/>
    <mergeCell ref="AF123:AG123"/>
    <mergeCell ref="C111:O111"/>
    <mergeCell ref="P111:Q111"/>
    <mergeCell ref="AW110:BI110"/>
    <mergeCell ref="BJ110:BK110"/>
    <mergeCell ref="BL130:BV130"/>
    <mergeCell ref="AU131:AV131"/>
    <mergeCell ref="AU121:AV121"/>
    <mergeCell ref="AU122:AV122"/>
    <mergeCell ref="AU124:AV124"/>
    <mergeCell ref="AF130:AG130"/>
    <mergeCell ref="AH118:AT118"/>
    <mergeCell ref="AU118:AV118"/>
    <mergeCell ref="BW129:BX129"/>
    <mergeCell ref="BW128:BX128"/>
    <mergeCell ref="BW125:BX125"/>
    <mergeCell ref="BW126:BX126"/>
    <mergeCell ref="BW121:BX121"/>
    <mergeCell ref="BW122:BX122"/>
    <mergeCell ref="BW123:BX123"/>
    <mergeCell ref="BJ129:BK129"/>
    <mergeCell ref="AW119:BI119"/>
    <mergeCell ref="BJ119:BK119"/>
    <mergeCell ref="BJ118:BK118"/>
    <mergeCell ref="AW118:BI118"/>
    <mergeCell ref="AU129:AV129"/>
    <mergeCell ref="AW129:BI129"/>
    <mergeCell ref="AW125:BI125"/>
    <mergeCell ref="AU119:AV119"/>
    <mergeCell ref="AF120:AG120"/>
    <mergeCell ref="R131:AE131"/>
    <mergeCell ref="AF131:AG131"/>
    <mergeCell ref="AH122:AT122"/>
    <mergeCell ref="AH126:AT126"/>
    <mergeCell ref="AH127:AT127"/>
    <mergeCell ref="AH128:AT128"/>
    <mergeCell ref="AH130:AT130"/>
    <mergeCell ref="R128:AE128"/>
    <mergeCell ref="R130:AE130"/>
    <mergeCell ref="AF129:AG129"/>
    <mergeCell ref="AH129:AT129"/>
    <mergeCell ref="A106:BX106"/>
    <mergeCell ref="C108:Q108"/>
    <mergeCell ref="AW108:BK108"/>
    <mergeCell ref="C109:O109"/>
    <mergeCell ref="P109:Q109"/>
    <mergeCell ref="R108:AG108"/>
    <mergeCell ref="C112:O112"/>
    <mergeCell ref="AW112:BI112"/>
    <mergeCell ref="BJ112:BK112"/>
    <mergeCell ref="BL108:BV108"/>
    <mergeCell ref="BW108:BX108"/>
    <mergeCell ref="BL109:BV109"/>
    <mergeCell ref="BW109:BX109"/>
    <mergeCell ref="BL111:BV111"/>
    <mergeCell ref="BW111:BX111"/>
    <mergeCell ref="A108:B130"/>
    <mergeCell ref="C130:O130"/>
    <mergeCell ref="C110:O110"/>
    <mergeCell ref="P110:Q110"/>
    <mergeCell ref="AF110:AG110"/>
    <mergeCell ref="AH110:AT110"/>
    <mergeCell ref="AU110:AV110"/>
    <mergeCell ref="P121:Q121"/>
    <mergeCell ref="C119:O119"/>
    <mergeCell ref="BW130:BX130"/>
    <mergeCell ref="BJ123:BK123"/>
    <mergeCell ref="AW114:BI114"/>
    <mergeCell ref="P128:Q128"/>
    <mergeCell ref="AW128:BI128"/>
    <mergeCell ref="BJ128:BK128"/>
    <mergeCell ref="AW115:BI115"/>
    <mergeCell ref="BJ115:BK115"/>
    <mergeCell ref="AH115:AT115"/>
    <mergeCell ref="AU115:AV115"/>
    <mergeCell ref="R126:AE126"/>
    <mergeCell ref="AF126:AG126"/>
    <mergeCell ref="AU125:AV125"/>
    <mergeCell ref="BL120:BX120"/>
    <mergeCell ref="BL119:BV119"/>
    <mergeCell ref="BW119:BX119"/>
    <mergeCell ref="BJ125:BK125"/>
    <mergeCell ref="P130:Q130"/>
    <mergeCell ref="AW130:BI130"/>
    <mergeCell ref="BJ130:BK130"/>
    <mergeCell ref="R129:AE129"/>
    <mergeCell ref="BL116:BV116"/>
    <mergeCell ref="BW116:BX116"/>
    <mergeCell ref="BL117:BV117"/>
    <mergeCell ref="BJ124:BK124"/>
    <mergeCell ref="C115:O115"/>
    <mergeCell ref="AW123:BI123"/>
    <mergeCell ref="AH120:AT120"/>
    <mergeCell ref="AW117:BI117"/>
    <mergeCell ref="BJ116:BK116"/>
    <mergeCell ref="P115:Q115"/>
    <mergeCell ref="AF115:AG115"/>
    <mergeCell ref="AH121:AT121"/>
    <mergeCell ref="AU117:AV117"/>
    <mergeCell ref="AU120:AV120"/>
    <mergeCell ref="AF124:AG124"/>
    <mergeCell ref="R124:AE124"/>
    <mergeCell ref="BJ117:BK117"/>
    <mergeCell ref="BJ122:BK122"/>
    <mergeCell ref="P119:Q119"/>
    <mergeCell ref="AH116:AT116"/>
    <mergeCell ref="AU116:AV116"/>
    <mergeCell ref="AF116:AG116"/>
    <mergeCell ref="AH117:AT117"/>
    <mergeCell ref="AF119:AG119"/>
    <mergeCell ref="AF118:AG118"/>
    <mergeCell ref="AH119:AT119"/>
    <mergeCell ref="AW122:BG122"/>
    <mergeCell ref="BH33:BL33"/>
    <mergeCell ref="AM32:AR32"/>
    <mergeCell ref="AS32:AZ32"/>
    <mergeCell ref="BA32:BG32"/>
    <mergeCell ref="BH32:BL32"/>
    <mergeCell ref="AM37:AR37"/>
    <mergeCell ref="BW32:BX37"/>
    <mergeCell ref="AS37:AZ37"/>
    <mergeCell ref="BH36:BL36"/>
    <mergeCell ref="AM35:AR35"/>
    <mergeCell ref="AS35:AZ35"/>
    <mergeCell ref="BA35:BG35"/>
    <mergeCell ref="BH35:BL35"/>
    <mergeCell ref="BA37:BG37"/>
    <mergeCell ref="BH37:BL37"/>
    <mergeCell ref="AM34:AR34"/>
    <mergeCell ref="BQ32:BR37"/>
    <mergeCell ref="BS32:BT37"/>
    <mergeCell ref="BU32:BV37"/>
    <mergeCell ref="BM32:BN37"/>
    <mergeCell ref="BO32:BP37"/>
    <mergeCell ref="AS34:AZ34"/>
    <mergeCell ref="BA34:BG34"/>
    <mergeCell ref="BH34:BL34"/>
    <mergeCell ref="A32:B37"/>
    <mergeCell ref="C32:E32"/>
    <mergeCell ref="F32:G32"/>
    <mergeCell ref="H32:I32"/>
    <mergeCell ref="J32:K32"/>
    <mergeCell ref="L32:AL32"/>
    <mergeCell ref="C34:E34"/>
    <mergeCell ref="F34:G34"/>
    <mergeCell ref="H34:I34"/>
    <mergeCell ref="J34:K34"/>
    <mergeCell ref="L34:AL34"/>
    <mergeCell ref="L33:AL33"/>
    <mergeCell ref="C35:K35"/>
    <mergeCell ref="L35:AL35"/>
    <mergeCell ref="C33:K33"/>
    <mergeCell ref="C36:K36"/>
    <mergeCell ref="L36:AL36"/>
    <mergeCell ref="C37:E37"/>
    <mergeCell ref="F37:G37"/>
    <mergeCell ref="A15:BX15"/>
    <mergeCell ref="A16:B19"/>
    <mergeCell ref="C16:K19"/>
    <mergeCell ref="L16:AL19"/>
    <mergeCell ref="AM16:AR19"/>
    <mergeCell ref="AS16:AZ19"/>
    <mergeCell ref="BA16:BG19"/>
    <mergeCell ref="BH16:BL19"/>
    <mergeCell ref="BM17:BN19"/>
    <mergeCell ref="BO17:BP19"/>
    <mergeCell ref="BQ17:BR19"/>
    <mergeCell ref="BS17:BT19"/>
    <mergeCell ref="BU17:BV19"/>
    <mergeCell ref="BW17:BX19"/>
    <mergeCell ref="BU13:BV13"/>
    <mergeCell ref="BU10:BX10"/>
    <mergeCell ref="BW13:BX13"/>
    <mergeCell ref="AE13:AQ13"/>
    <mergeCell ref="AR13:AU13"/>
    <mergeCell ref="AV13:AW13"/>
    <mergeCell ref="AX13:AY13"/>
    <mergeCell ref="AZ13:BA13"/>
    <mergeCell ref="BB13:BN13"/>
    <mergeCell ref="BW12:BX12"/>
    <mergeCell ref="AC13:AD13"/>
    <mergeCell ref="AW10:AZ10"/>
    <mergeCell ref="BB12:BN12"/>
    <mergeCell ref="BO12:BR12"/>
    <mergeCell ref="BS12:BT12"/>
    <mergeCell ref="BU12:BV12"/>
    <mergeCell ref="H13:T13"/>
    <mergeCell ref="U13:X13"/>
    <mergeCell ref="Y13:Z13"/>
    <mergeCell ref="AA13:AB13"/>
    <mergeCell ref="AC12:AD12"/>
    <mergeCell ref="AE12:AQ12"/>
    <mergeCell ref="A11:H11"/>
    <mergeCell ref="A12:G13"/>
    <mergeCell ref="H12:T12"/>
    <mergeCell ref="U12:X12"/>
    <mergeCell ref="Y12:Z12"/>
    <mergeCell ref="AA12:AB12"/>
    <mergeCell ref="AR12:AU12"/>
    <mergeCell ref="AV12:AW12"/>
    <mergeCell ref="AX12:AY12"/>
    <mergeCell ref="AZ12:BA12"/>
    <mergeCell ref="BO13:BR13"/>
    <mergeCell ref="BS13:BT13"/>
    <mergeCell ref="A1:BX5"/>
    <mergeCell ref="A6:M6"/>
    <mergeCell ref="N6:W6"/>
    <mergeCell ref="X6:AB6"/>
    <mergeCell ref="AC6:AI6"/>
    <mergeCell ref="AJ6:BA6"/>
    <mergeCell ref="BB6:BX6"/>
    <mergeCell ref="AJ7:AQ7"/>
    <mergeCell ref="AR7:AS7"/>
    <mergeCell ref="AT7:AY7"/>
    <mergeCell ref="AZ7:BA7"/>
    <mergeCell ref="BB7:BX7"/>
    <mergeCell ref="A7:M7"/>
    <mergeCell ref="N7:P7"/>
    <mergeCell ref="Q7:U7"/>
    <mergeCell ref="V7:W7"/>
    <mergeCell ref="X7:AB7"/>
    <mergeCell ref="AC7:AI7"/>
    <mergeCell ref="A8:BX8"/>
    <mergeCell ref="BW50:BX55"/>
    <mergeCell ref="BH38:BL38"/>
    <mergeCell ref="BH42:BL42"/>
    <mergeCell ref="BW38:BX43"/>
    <mergeCell ref="BH40:BL40"/>
    <mergeCell ref="BQ44:BR49"/>
    <mergeCell ref="BS44:BT49"/>
    <mergeCell ref="BU44:BV49"/>
    <mergeCell ref="BQ38:BR43"/>
    <mergeCell ref="BS38:BT43"/>
    <mergeCell ref="BU38:BV43"/>
    <mergeCell ref="BH50:BL50"/>
    <mergeCell ref="BH54:BL54"/>
    <mergeCell ref="BM50:BN55"/>
    <mergeCell ref="BH55:BL55"/>
    <mergeCell ref="BO50:BP55"/>
    <mergeCell ref="BQ50:BR55"/>
    <mergeCell ref="BS50:BT55"/>
    <mergeCell ref="BU50:BV55"/>
    <mergeCell ref="BH51:BL51"/>
    <mergeCell ref="BW44:BX49"/>
    <mergeCell ref="BM38:BN43"/>
    <mergeCell ref="BO38:BP43"/>
    <mergeCell ref="BH39:BL39"/>
    <mergeCell ref="BL110:BV110"/>
    <mergeCell ref="BL112:BV112"/>
    <mergeCell ref="BW110:BX110"/>
    <mergeCell ref="AW121:BI121"/>
    <mergeCell ref="BJ121:BK121"/>
    <mergeCell ref="AW120:BI120"/>
    <mergeCell ref="BW112:BX112"/>
    <mergeCell ref="BL113:BV113"/>
    <mergeCell ref="BW113:BX113"/>
    <mergeCell ref="AW116:BI116"/>
    <mergeCell ref="AW113:BI113"/>
    <mergeCell ref="BJ114:BK114"/>
    <mergeCell ref="BJ120:BK120"/>
    <mergeCell ref="BW114:BX114"/>
    <mergeCell ref="BW117:BX117"/>
    <mergeCell ref="BL118:BV118"/>
    <mergeCell ref="BW118:BX118"/>
    <mergeCell ref="BW115:BX115"/>
    <mergeCell ref="AS55:AZ55"/>
    <mergeCell ref="BA55:BG55"/>
    <mergeCell ref="BH52:BL52"/>
    <mergeCell ref="BH53:BL53"/>
    <mergeCell ref="BH47:BL47"/>
    <mergeCell ref="A9:BX9"/>
    <mergeCell ref="A10:J10"/>
    <mergeCell ref="K10:N10"/>
    <mergeCell ref="O10:P10"/>
    <mergeCell ref="Q10:R10"/>
    <mergeCell ref="S10:T10"/>
    <mergeCell ref="BA10:BF10"/>
    <mergeCell ref="AH10:AM10"/>
    <mergeCell ref="AN10:AV10"/>
    <mergeCell ref="U10:V10"/>
    <mergeCell ref="W10:X10"/>
    <mergeCell ref="Y10:AG10"/>
    <mergeCell ref="BG10:BN10"/>
    <mergeCell ref="BO10:BT10"/>
    <mergeCell ref="AF109:AG109"/>
    <mergeCell ref="AH109:AT109"/>
    <mergeCell ref="AU109:AV109"/>
    <mergeCell ref="AW109:BI109"/>
    <mergeCell ref="BJ109:BK109"/>
    <mergeCell ref="P112:Q112"/>
    <mergeCell ref="AF112:AG112"/>
    <mergeCell ref="AH114:AT114"/>
    <mergeCell ref="AU114:AV114"/>
    <mergeCell ref="AH111:AT111"/>
    <mergeCell ref="BJ111:BK111"/>
    <mergeCell ref="BJ113:BK113"/>
    <mergeCell ref="P114:Q114"/>
    <mergeCell ref="AH112:AT112"/>
    <mergeCell ref="AH113:AT113"/>
    <mergeCell ref="AU113:AV113"/>
    <mergeCell ref="AU112:AV112"/>
    <mergeCell ref="A50:B55"/>
    <mergeCell ref="C50:E50"/>
    <mergeCell ref="F50:G50"/>
    <mergeCell ref="H50:I50"/>
    <mergeCell ref="J50:K50"/>
    <mergeCell ref="L50:AL50"/>
    <mergeCell ref="AM50:AR50"/>
    <mergeCell ref="AS50:AZ50"/>
    <mergeCell ref="BA50:BG50"/>
    <mergeCell ref="AM53:AR53"/>
    <mergeCell ref="AS53:AZ53"/>
    <mergeCell ref="BA53:BG53"/>
    <mergeCell ref="L51:AL55"/>
    <mergeCell ref="BA54:BG54"/>
    <mergeCell ref="C55:E55"/>
    <mergeCell ref="F55:G55"/>
    <mergeCell ref="H55:I55"/>
    <mergeCell ref="J55:K55"/>
    <mergeCell ref="AM55:AR55"/>
    <mergeCell ref="C51:K51"/>
    <mergeCell ref="AM51:AR51"/>
    <mergeCell ref="AS51:AZ51"/>
    <mergeCell ref="BA51:BG51"/>
    <mergeCell ref="C52:E52"/>
    <mergeCell ref="A44:B49"/>
    <mergeCell ref="C44:E44"/>
    <mergeCell ref="F44:G44"/>
    <mergeCell ref="H44:I44"/>
    <mergeCell ref="J44:K44"/>
    <mergeCell ref="L44:AL44"/>
    <mergeCell ref="AM44:AR44"/>
    <mergeCell ref="AS44:AZ44"/>
    <mergeCell ref="AM47:AR47"/>
    <mergeCell ref="AS47:AZ47"/>
    <mergeCell ref="L45:AL49"/>
    <mergeCell ref="H49:I49"/>
    <mergeCell ref="J49:K49"/>
    <mergeCell ref="AM49:AR49"/>
    <mergeCell ref="C49:E49"/>
    <mergeCell ref="F49:G49"/>
    <mergeCell ref="C45:K45"/>
    <mergeCell ref="C48:K48"/>
    <mergeCell ref="AM48:AR48"/>
    <mergeCell ref="AS48:AZ48"/>
    <mergeCell ref="C46:E46"/>
    <mergeCell ref="F46:G46"/>
    <mergeCell ref="C47:K47"/>
    <mergeCell ref="F52:G52"/>
    <mergeCell ref="H52:I52"/>
    <mergeCell ref="J52:K52"/>
    <mergeCell ref="C54:K54"/>
    <mergeCell ref="AM54:AR54"/>
    <mergeCell ref="AS54:AZ54"/>
    <mergeCell ref="AM52:AR52"/>
    <mergeCell ref="AS52:AZ52"/>
    <mergeCell ref="BA52:BG52"/>
    <mergeCell ref="C53:K53"/>
    <mergeCell ref="C40:E40"/>
    <mergeCell ref="F40:G40"/>
    <mergeCell ref="BM44:BN49"/>
    <mergeCell ref="BO44:BP49"/>
    <mergeCell ref="AS49:AZ49"/>
    <mergeCell ref="BA49:BG49"/>
    <mergeCell ref="BH49:BL49"/>
    <mergeCell ref="AM45:AR45"/>
    <mergeCell ref="AS45:AZ45"/>
    <mergeCell ref="BH45:BL45"/>
    <mergeCell ref="BA48:BG48"/>
    <mergeCell ref="BH48:BL48"/>
    <mergeCell ref="BH46:BL46"/>
    <mergeCell ref="BA47:BG47"/>
    <mergeCell ref="BH44:BL44"/>
    <mergeCell ref="F43:G43"/>
    <mergeCell ref="H43:I43"/>
    <mergeCell ref="J43:K43"/>
    <mergeCell ref="BH43:BL43"/>
    <mergeCell ref="C41:K41"/>
    <mergeCell ref="BH41:BL41"/>
    <mergeCell ref="C42:K42"/>
    <mergeCell ref="AM42:AR42"/>
    <mergeCell ref="AS42:AZ42"/>
    <mergeCell ref="L43:AL43"/>
    <mergeCell ref="AS26:AZ26"/>
    <mergeCell ref="BA26:BG26"/>
    <mergeCell ref="AM29:AR29"/>
    <mergeCell ref="AS29:AZ29"/>
    <mergeCell ref="BA29:BG29"/>
    <mergeCell ref="H46:I46"/>
    <mergeCell ref="J46:K46"/>
    <mergeCell ref="AM46:AR46"/>
    <mergeCell ref="AS46:AZ46"/>
    <mergeCell ref="BA46:BG46"/>
    <mergeCell ref="H37:I37"/>
    <mergeCell ref="J37:K37"/>
    <mergeCell ref="L37:AL37"/>
    <mergeCell ref="AM36:AR36"/>
    <mergeCell ref="AS36:AZ36"/>
    <mergeCell ref="BA36:BG36"/>
    <mergeCell ref="AM33:AR33"/>
    <mergeCell ref="AS33:AZ33"/>
    <mergeCell ref="BA33:BG33"/>
    <mergeCell ref="AM40:AR40"/>
    <mergeCell ref="AS40:AZ40"/>
    <mergeCell ref="BA40:BG40"/>
    <mergeCell ref="A38:B43"/>
    <mergeCell ref="C38:E38"/>
    <mergeCell ref="F38:G38"/>
    <mergeCell ref="H38:I38"/>
    <mergeCell ref="J38:K38"/>
    <mergeCell ref="L38:AL38"/>
    <mergeCell ref="AM38:AR38"/>
    <mergeCell ref="AS38:AZ38"/>
    <mergeCell ref="BA38:BG38"/>
    <mergeCell ref="AM41:AR41"/>
    <mergeCell ref="AS41:AZ41"/>
    <mergeCell ref="BA41:BG41"/>
    <mergeCell ref="L39:AL42"/>
    <mergeCell ref="BA42:BG42"/>
    <mergeCell ref="C43:E43"/>
    <mergeCell ref="C39:K39"/>
    <mergeCell ref="AM39:AR39"/>
    <mergeCell ref="AS39:AZ39"/>
    <mergeCell ref="BA39:BG39"/>
    <mergeCell ref="AM43:AR43"/>
    <mergeCell ref="AS43:AZ43"/>
    <mergeCell ref="BA43:BG43"/>
    <mergeCell ref="H40:I40"/>
    <mergeCell ref="J40:K40"/>
    <mergeCell ref="BH26:BL26"/>
    <mergeCell ref="BM26:BN31"/>
    <mergeCell ref="BO26:BP31"/>
    <mergeCell ref="BQ26:BR31"/>
    <mergeCell ref="BS26:BT31"/>
    <mergeCell ref="BU26:BV31"/>
    <mergeCell ref="BW26:BX31"/>
    <mergeCell ref="C27:K27"/>
    <mergeCell ref="L27:AL27"/>
    <mergeCell ref="AM27:AR27"/>
    <mergeCell ref="AS27:AZ27"/>
    <mergeCell ref="BA27:BG27"/>
    <mergeCell ref="BH27:BL27"/>
    <mergeCell ref="C28:E28"/>
    <mergeCell ref="F28:G28"/>
    <mergeCell ref="H28:I28"/>
    <mergeCell ref="J28:K28"/>
    <mergeCell ref="L28:AL28"/>
    <mergeCell ref="AM28:AR28"/>
    <mergeCell ref="AS28:AZ28"/>
    <mergeCell ref="BA28:BG28"/>
    <mergeCell ref="BH28:BL28"/>
    <mergeCell ref="C29:K29"/>
    <mergeCell ref="L29:AL29"/>
    <mergeCell ref="B244:BX293"/>
    <mergeCell ref="A26:B31"/>
    <mergeCell ref="C26:E26"/>
    <mergeCell ref="F26:G26"/>
    <mergeCell ref="H26:I26"/>
    <mergeCell ref="J26:K26"/>
    <mergeCell ref="L26:AL26"/>
    <mergeCell ref="AM26:AR26"/>
    <mergeCell ref="BH29:BL29"/>
    <mergeCell ref="C30:K30"/>
    <mergeCell ref="L30:AL30"/>
    <mergeCell ref="AM30:AR30"/>
    <mergeCell ref="AS30:AZ30"/>
    <mergeCell ref="BA30:BG30"/>
    <mergeCell ref="BH30:BL30"/>
    <mergeCell ref="C31:E31"/>
    <mergeCell ref="F31:G31"/>
    <mergeCell ref="H31:I31"/>
    <mergeCell ref="J31:K31"/>
    <mergeCell ref="L31:AL31"/>
    <mergeCell ref="AM31:AR31"/>
    <mergeCell ref="AS31:AZ31"/>
    <mergeCell ref="BA31:BG31"/>
    <mergeCell ref="BH31:BL31"/>
  </mergeCells>
  <phoneticPr fontId="1"/>
  <dataValidations count="28">
    <dataValidation type="list" showInputMessage="1" showErrorMessage="1" errorTitle="入力できない値が登録されました" error="「キャンセル」ボタンをクリックして、_x000a_プルダウンメニューから選択してください" sqref="BG10:BN10" xr:uid="{00000000-0002-0000-0000-000000000000}">
      <formula1>" ,相談可,不可,180h以内,200h以内"</formula1>
    </dataValidation>
    <dataValidation type="list" showInputMessage="1" showErrorMessage="1" errorTitle="入力できない値が登録されました" error="「キャンセル」ボタンをクリックして、_x000a_プルダウンメニューから選択してください" sqref="AW10:AZ10" xr:uid="{00000000-0002-0000-0000-000001000000}">
      <formula1>"相談可,不可"</formula1>
    </dataValidation>
    <dataValidation type="list" allowBlank="1" showInputMessage="1" showErrorMessage="1" errorTitle="入力できない値が登録されました" error="「キャンセル」ボタンをクリックして、_x000a_プルダウンメニューから選択してください" sqref="U10:V10" xr:uid="{00000000-0002-0000-0000-000002000000}">
      <formula1>$B$132:$B$163</formula1>
    </dataValidation>
    <dataValidation type="list" showInputMessage="1" showErrorMessage="1" errorTitle="入力できない値が登録されました" error="「キャンセル」ボタンをクリックして、_x000a_プルダウンメニューから選択してください" sqref="C92:E92 C26:E26 C28:E28 C88:E88 C86:E86 C76:E76 C74:E74 C58:E58 C56:E56 C70:E70 C68:E68 C52:E52 C44:E44 C46:E46 C38:E38 C40:E40 K10:N10 U12:X13 AR12:AU13 BO12:BR13 C32:E32 C34:E34 C50:E50 C100:E100 C98:E98 C64:E64 C62:E62 C82:E82 C80:E80 C94:E94 C20:E20 C22:E22" xr:uid="{00000000-0002-0000-0000-000003000000}">
      <formula1>#REF!</formula1>
    </dataValidation>
    <dataValidation type="list" showErrorMessage="1" errorTitle="入力できない値が登録されました" error="「キャンセル」ボタンをクリックして、_x000a_プルダウンメニューから選択してください" sqref="H94:I94 H26:I26 H28:I28 H86:I86 H88:I88 H74:I74 H76:I76 H56:I56 H58:I58 H68:I68 H70:I70 H50:I50 H52:I52 H44:I44 H46:I46 H38:I38 H40:I40 Q10:R10 AA12:AB13 AX12:AY13 BU12:BV13 H32:I32 H34:I34 H98:I98 H100:I100 H62:I62 H64:I64 H80:I80 H82:I82 H92:I92 H20:I20 H22:I22" xr:uid="{00000000-0002-0000-0000-000004000000}">
      <formula1>$A$132:$A$144</formula1>
    </dataValidation>
    <dataValidation type="list" showInputMessage="1" showErrorMessage="1" errorTitle="入力できない値が登録されました" error="「キャンセル」ボタンをクリックして、_x000a_プルダウンメニューから選択してください" sqref="Q7:U7" xr:uid="{00000000-0002-0000-0000-000005000000}">
      <formula1>$C$132:$C$185</formula1>
    </dataValidation>
    <dataValidation type="list" showErrorMessage="1" errorTitle="入力できない値が登録されました" error="「キャンセル」ボタンをクリックして、_x000a_プルダウンメニューから選択してください" sqref="X7:AB7" xr:uid="{00000000-0002-0000-0000-000006000000}">
      <formula1>$D$132:$D$134</formula1>
    </dataValidation>
    <dataValidation type="list" allowBlank="1" showInputMessage="1" showErrorMessage="1" sqref="BU10:BX10" xr:uid="{00000000-0002-0000-0000-000007000000}">
      <formula1>"相談可,不可"</formula1>
    </dataValidation>
    <dataValidation type="list" showInputMessage="1" showErrorMessage="1" errorTitle="入力できない値が登録されました" error="「キャンセル」ボタンをクリックして、_x000a_プルダウンメニューから選択してください" sqref="P109:Q119 P121:Q130 BW108:BX112 BW121:BX126 BJ109:BK122 AF109:AG131 AU108:AV122 BK124 AU124:AV131 BW128:BX130 BJ123:BJ124 BJ125:BK130 BW114:BX114 BW116:BX119" xr:uid="{00000000-0002-0000-0000-000008000000}">
      <formula1>$H$132:$H$137</formula1>
    </dataValidation>
    <dataValidation type="list" showInputMessage="1" showErrorMessage="1" errorTitle="入力できない値が登録されました" error="「キャンセル」ボタンをクリックして、_x000a_プルダウンメニューから選択してください" sqref="BH43:BL43 BH31:BL31 BH91:BL91 BH85:BL85 BH73:BL73 BH55:BL55 BH79:BL79 BH49:BL49 BH37:BL37 BH67:BL67 BH61:BL61 BH103:BL103 BH97:BL97 BH25:BL25" xr:uid="{00000000-0002-0000-0000-000009000000}">
      <formula1>$I$132:$I$137</formula1>
    </dataValidation>
    <dataValidation type="list" sqref="AW130:BI130 C121:O130 C119:O119" xr:uid="{00000000-0002-0000-0000-00000A000000}">
      <formula1>$K$132:$K$139</formula1>
    </dataValidation>
    <dataValidation type="list" sqref="R109:AE113" xr:uid="{00000000-0002-0000-0000-00000B000000}">
      <formula1>$L$132:$L$137</formula1>
    </dataValidation>
    <dataValidation type="list" sqref="R114:AE117 R123 R127:AE130 R122:AE122" xr:uid="{00000000-0002-0000-0000-00000C000000}">
      <formula1>$M$132:$M$134</formula1>
    </dataValidation>
    <dataValidation type="list" sqref="R118:AE121" xr:uid="{00000000-0002-0000-0000-00000D000000}">
      <formula1>$N$132:$N$136</formula1>
    </dataValidation>
    <dataValidation type="list" allowBlank="1" sqref="R131:AE131 R124:R126 S123:AE126" xr:uid="{00000000-0002-0000-0000-00000E000000}">
      <formula1>$O$132:$O$135</formula1>
    </dataValidation>
    <dataValidation type="list" allowBlank="1" sqref="AI131:AT131 AH124:AH131" xr:uid="{00000000-0002-0000-0000-00000F000000}">
      <formula1>$Q$132:$Q$140</formula1>
    </dataValidation>
    <dataValidation type="list" allowBlank="1" sqref="AW109:BI111" xr:uid="{00000000-0002-0000-0000-000010000000}">
      <formula1>$R$133:$R$135</formula1>
    </dataValidation>
    <dataValidation type="list" sqref="AW112:BI116" xr:uid="{00000000-0002-0000-0000-000011000000}">
      <formula1>$S$133:$S$139</formula1>
    </dataValidation>
    <dataValidation type="list" showInputMessage="1" showErrorMessage="1" sqref="AW118:AW121" xr:uid="{00000000-0002-0000-0000-000012000000}">
      <formula1>$T$133:$T$137</formula1>
    </dataValidation>
    <dataValidation type="list" allowBlank="1" showInputMessage="1" showErrorMessage="1" sqref="BH122:BI123 AW123:BG123" xr:uid="{00000000-0002-0000-0000-000013000000}">
      <formula1>$V$133:$V$139</formula1>
    </dataValidation>
    <dataValidation type="list" sqref="AW124:BI129" xr:uid="{00000000-0002-0000-0000-000014000000}">
      <formula1>$W$133:$W$136</formula1>
    </dataValidation>
    <dataValidation type="list" sqref="BL112:BV112 BL114:BV119" xr:uid="{00000000-0002-0000-0000-000015000000}">
      <formula1>$X$133:$X$137</formula1>
    </dataValidation>
    <dataValidation type="list" sqref="BL121:BV122" xr:uid="{00000000-0002-0000-0000-000016000000}">
      <formula1>$Y$133:$Y$141</formula1>
    </dataValidation>
    <dataValidation type="list" sqref="BL124:BV126" xr:uid="{00000000-0002-0000-0000-000017000000}">
      <formula1>$Z$133:$Z$137</formula1>
    </dataValidation>
    <dataValidation type="list" sqref="BL128:BV130" xr:uid="{00000000-0002-0000-0000-000018000000}">
      <formula1>$AB$133:$AB$135</formula1>
    </dataValidation>
    <dataValidation type="list" sqref="BH33:BL33 BH27:BL27 BH87:BL87 BH99:BL99 BH57:BL57 BH69:BL69 BH51:BL51 BH45:BL45 BH39:BL39 BH75:BL75 BH63:BL63 BH81:BL81 BH93:BL93 BH21:BL22" xr:uid="{00000000-0002-0000-0000-000019000000}">
      <formula1>$AC$133:$AC$146</formula1>
    </dataValidation>
    <dataValidation type="list" sqref="AI108:AT110 AW117 AH108:AH122 AI112:AT120" xr:uid="{00000000-0002-0000-0000-00001A000000}">
      <formula1>$P$132:$P$145</formula1>
    </dataValidation>
    <dataValidation type="list" allowBlank="1" showInputMessage="1" showErrorMessage="1" sqref="BM20:BX103" xr:uid="{00000000-0002-0000-0000-00001B000000}">
      <formula1>"　,●"</formula1>
    </dataValidation>
  </dataValidations>
  <printOptions horizontalCentered="1" verticalCentered="1"/>
  <pageMargins left="1" right="1" top="1" bottom="1" header="0.5" footer="0.5"/>
  <pageSetup paperSize="9" scale="68" fitToWidth="3" fitToHeight="5"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スキルシート</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上野和哉</dc:creator>
  <cp:keywords/>
  <dc:description/>
  <cp:lastModifiedBy>大東 祐介</cp:lastModifiedBy>
  <cp:revision/>
  <cp:lastPrinted>2022-09-21T00:58:37Z</cp:lastPrinted>
  <dcterms:created xsi:type="dcterms:W3CDTF">2015-10-18T13:15:06Z</dcterms:created>
  <dcterms:modified xsi:type="dcterms:W3CDTF">2022-11-23T10:41:09Z</dcterms:modified>
  <cp:category/>
  <cp:contentStatus/>
</cp:coreProperties>
</file>